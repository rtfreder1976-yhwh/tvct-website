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Pricing Table" sheetId="2" r:id="rId5"/>
  </sheets>
  <definedNames/>
  <calcPr/>
  <extLst>
    <ext uri="GoogleSheetsCustomDataVersion2">
      <go:sheetsCustomData xmlns:go="http://customooxmlschemas.google.com/" r:id="rId6" roundtripDataChecksum="5lPpx4BTKLn4ofl5wVjbnVMK588bPNIWgNxNR7oKlwk="/>
    </ext>
  </extLst>
</workbook>
</file>

<file path=xl/sharedStrings.xml><?xml version="1.0" encoding="utf-8"?>
<sst xmlns="http://schemas.openxmlformats.org/spreadsheetml/2006/main" count="259" uniqueCount="136">
  <si>
    <t>THE VALLEY CLEAN TEAM — PRICING TABLE</t>
  </si>
  <si>
    <t>THE VALLEY CLEAN TEAM — PRICING ASSUMPTIONS</t>
  </si>
  <si>
    <t>CLIENT-FACING BILLING RATES</t>
  </si>
  <si>
    <t>Orange (cols B–S, 750–6,500 sq ft) = existing pricing.   Blue (cols T–Z, 7,000–10,000 sq ft) = extended, market-rate grounded.   Amber rows = estimated labor hours for scheduling.   Discounts: Monthly −15%  |  Bi-Weekly −25%  |  Weekly −30% off Standard.</t>
  </si>
  <si>
    <t>Input</t>
  </si>
  <si>
    <t>Value</t>
  </si>
  <si>
    <t>Notes</t>
  </si>
  <si>
    <t>DEEP CLEAN  (First Cleaning)</t>
  </si>
  <si>
    <t>Standard hourly billing rate</t>
  </si>
  <si>
    <t>Sq Ft  →</t>
  </si>
  <si>
    <t>Rate per cleaner-hour quoted to clients</t>
  </si>
  <si>
    <t>750</t>
  </si>
  <si>
    <t>Post-construction hourly rate</t>
  </si>
  <si>
    <t>1,000</t>
  </si>
  <si>
    <t>1,250</t>
  </si>
  <si>
    <t>1,500</t>
  </si>
  <si>
    <t>Higher rate for specialty post-construction work</t>
  </si>
  <si>
    <t>1,800</t>
  </si>
  <si>
    <t>2,100</t>
  </si>
  <si>
    <t>2,400</t>
  </si>
  <si>
    <t>SUBCONTRACTOR MODEL</t>
  </si>
  <si>
    <t>2,700</t>
  </si>
  <si>
    <t>3,000</t>
  </si>
  <si>
    <t>3,300</t>
  </si>
  <si>
    <t>3,600</t>
  </si>
  <si>
    <t>4,000</t>
  </si>
  <si>
    <t>4,400</t>
  </si>
  <si>
    <t>4,700</t>
  </si>
  <si>
    <t>5,200</t>
  </si>
  <si>
    <t>5,600</t>
  </si>
  <si>
    <t>6,000</t>
  </si>
  <si>
    <t>6,500</t>
  </si>
  <si>
    <t>7,000</t>
  </si>
  <si>
    <t>Sub rate — low end</t>
  </si>
  <si>
    <t>7,500</t>
  </si>
  <si>
    <t>8,000</t>
  </si>
  <si>
    <t>Lowest percentage you pay a sub</t>
  </si>
  <si>
    <t>8,500</t>
  </si>
  <si>
    <t>9,000</t>
  </si>
  <si>
    <t>Sub rate — high end</t>
  </si>
  <si>
    <t>9,500</t>
  </si>
  <si>
    <t>10,000</t>
  </si>
  <si>
    <t>Highest percentage you pay a sub</t>
  </si>
  <si>
    <t>First Cleaning (Deep Clean)</t>
  </si>
  <si>
    <t>Sub rate for margin calculations</t>
  </si>
  <si>
    <t>Midpoint — adjust to your most common rate</t>
  </si>
  <si>
    <t>Target gross margin</t>
  </si>
  <si>
    <t>(Revenue − All Costs) ÷ Revenue</t>
  </si>
  <si>
    <t>TRAVEL FEES BY ZONE  ·  Flat per-job fee paid to sub for gas</t>
  </si>
  <si>
    <t>Zone 1 — Nashville core (closest)</t>
  </si>
  <si>
    <t>Local jobs</t>
  </si>
  <si>
    <t>Zone 2</t>
  </si>
  <si>
    <t>Zone 3 — Mid-range</t>
  </si>
  <si>
    <t>Zone 4</t>
  </si>
  <si>
    <t>Per Sq Ft</t>
  </si>
  <si>
    <t>Zone 5 — Furthest out</t>
  </si>
  <si>
    <t>Furthest service area</t>
  </si>
  <si>
    <t>Zone used for margin calculations</t>
  </si>
  <si>
    <t>Defaults to Zone 3 — change formula to B17–B21 for different zone</t>
  </si>
  <si>
    <t>TODD'S FIXED COSTS PER JOB  ·  Costs NOT covered by the sub</t>
  </si>
  <si>
    <t>Software &amp; tech (GHL, scheduling, etc.)</t>
  </si>
  <si>
    <t>Monthly cost ÷ avg jobs per month  —  update this number</t>
  </si>
  <si>
    <t>Marketing &amp; sales allocation</t>
  </si>
  <si>
    <t>Monthly ad/lead spend ÷ avg jobs per month</t>
  </si>
  <si>
    <t>Total fixed cost per job</t>
  </si>
  <si>
    <t>Auto-calculated — do not edit</t>
  </si>
  <si>
    <t>TIME ESTIMATES  ·  Hours per 1,000 sq ft  —  used for scheduling</t>
  </si>
  <si>
    <t>Est. Labor Hours</t>
  </si>
  <si>
    <t>Service</t>
  </si>
  <si>
    <t>Hrs / 1,000 sq ft</t>
  </si>
  <si>
    <t>Example</t>
  </si>
  <si>
    <t>Deep clean / first visit</t>
  </si>
  <si>
    <t>~21 hrs for an 8,000 sq ft home</t>
  </si>
  <si>
    <t>Standard / recurring clean</t>
  </si>
  <si>
    <t>~15 hrs for an 8,000 sq ft home</t>
  </si>
  <si>
    <t>Move in / out</t>
  </si>
  <si>
    <t>Same scope as deep clean</t>
  </si>
  <si>
    <t>Post-construction final clean</t>
  </si>
  <si>
    <t>~25 hrs for an 8,000 sq ft new build</t>
  </si>
  <si>
    <t>RECURRING DISCOUNTS  ·  Applied to Standard Clean price</t>
  </si>
  <si>
    <t>Monthly</t>
  </si>
  <si>
    <t>15% off standard</t>
  </si>
  <si>
    <t>Bi-weekly</t>
  </si>
  <si>
    <t>25% off standard</t>
  </si>
  <si>
    <t>Weekly</t>
  </si>
  <si>
    <t>30% off standard</t>
  </si>
  <si>
    <t>MINIMUM PRICES</t>
  </si>
  <si>
    <t>Deep clean minimum</t>
  </si>
  <si>
    <t>Standard clean minimum</t>
  </si>
  <si>
    <t>Weekly recurring minimum</t>
  </si>
  <si>
    <t>Move in/out minimum</t>
  </si>
  <si>
    <t>Post-construction minimum</t>
  </si>
  <si>
    <t>STANDARD / RECURRING CLEAN</t>
  </si>
  <si>
    <t>Standard Clean (one-time)</t>
  </si>
  <si>
    <t>Monthly Clean (15% off)</t>
  </si>
  <si>
    <t>Bi-Weekly Clean (25% off)</t>
  </si>
  <si>
    <t>Weekly Clean (30% off)</t>
  </si>
  <si>
    <t>Weekly — Per Sq Ft</t>
  </si>
  <si>
    <t>MOVE IN / MOVE OUT  (+$75 above Deep Clean)</t>
  </si>
  <si>
    <t>Move In / Out Clean</t>
  </si>
  <si>
    <t>POST-CONSTRUCTION CLEAN UP</t>
  </si>
  <si>
    <t>⚠️  RATE CHANGE FOR 7,000+ SQ FT: Existing prices used '50% above Move In/Out' formula — which underprices large new builds. Extended range uses $0.50/sq ft, grounded in Nashville post-construction market rates ($3,200–$4,400 for 8,000 sq ft).</t>
  </si>
  <si>
    <t>Construction Clean Up</t>
  </si>
  <si>
    <t>SUBCONTRACTOR FLOOR CHECK  —  Minimum Viable Job Price by Zone &amp; Sub Rate</t>
  </si>
  <si>
    <t>Formula: (Travel Fee + Fixed Costs Per Job) ÷ (1 − Sub Rate % − Target Margin %)   Any job priced above the floor for its zone/sub rate hits your margin target.</t>
  </si>
  <si>
    <t>Zone / Travel Fee</t>
  </si>
  <si>
    <t>40% Sub Rate</t>
  </si>
  <si>
    <t>45% Sub Rate</t>
  </si>
  <si>
    <t>50% Sub Rate</t>
  </si>
  <si>
    <t>Zone 1 — $5 travel</t>
  </si>
  <si>
    <t>← Any job priced above the number in its row hits your margin target. Larger jobs generate higher margins because fixed costs become a smaller % of revenue. See Margin table below.</t>
  </si>
  <si>
    <t>Zone 2 — $8 travel</t>
  </si>
  <si>
    <t>Zone 3 — $10 travel</t>
  </si>
  <si>
    <t>Zone 4 — $12 travel</t>
  </si>
  <si>
    <t>Zone 5 — $15 travel</t>
  </si>
  <si>
    <t>EFFECTIVE MARGIN BY PRICE TIER  ·  At 45% sub rate, Zone 3 ($10 travel) — update in Assumptions</t>
  </si>
  <si>
    <t>Formula: 1 − Sub Rate % − (Travel + Fixed Costs) ÷ Job Price   Margin improves as job price increases — fixed costs become a smaller % of larger jobs.</t>
  </si>
  <si>
    <t>Deep Clean Margin %</t>
  </si>
  <si>
    <t>Standard Clean Margin %</t>
  </si>
  <si>
    <t>Weekly Clean Margin %</t>
  </si>
  <si>
    <t>Construction Margin %</t>
  </si>
  <si>
    <t>Deep Clean</t>
  </si>
  <si>
    <t>Included: inside oven + inside fridge</t>
  </si>
  <si>
    <t>Standard Clean</t>
  </si>
  <si>
    <t>Weekly Recurring</t>
  </si>
  <si>
    <t>Move In / Out</t>
  </si>
  <si>
    <t>Post-Construction</t>
  </si>
  <si>
    <t>ADD-ON EXTRAS  (Not limited to)</t>
  </si>
  <si>
    <t>Inside Oven</t>
  </si>
  <si>
    <t>Included in deep clean &amp; move in/out</t>
  </si>
  <si>
    <t>Extra Pet Hair / Shedding</t>
  </si>
  <si>
    <t>Wet Wipe Window Blinds</t>
  </si>
  <si>
    <t>Per blind</t>
  </si>
  <si>
    <t>Clean Inside Refrigerator</t>
  </si>
  <si>
    <t>Included in move in/out</t>
  </si>
  <si>
    <t>Inside Dishwasher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</si>
</sst>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\$#,##0"/>
    <numFmt numFmtId="166" formatCode="\$0.00"/>
    <numFmt numFmtId="167" formatCode="0.000"/>
    <numFmt numFmtId="168" formatCode="0.0"/>
    <numFmt numFmtId="169" formatCode="0.0%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i/>
      <sz val="8.0"/>
      <color rgb="FF555555"/>
      <name val="Arial"/>
    </font>
    <font>
      <b/>
      <sz val="9.0"/>
      <color rgb="FF333333"/>
      <name val="Arial"/>
    </font>
    <font>
      <sz val="9.0"/>
      <color rgb="FF333333"/>
      <name val="Arial"/>
    </font>
    <font>
      <b/>
      <sz val="10.0"/>
      <color rgb="FF1A5276"/>
      <name val="Arial"/>
    </font>
    <font>
      <i/>
      <sz val="8.0"/>
      <color rgb="FF7F8C8D"/>
      <name val="Arial"/>
    </font>
    <font>
      <b/>
      <sz val="9.0"/>
      <color rgb="FFFFFFFF"/>
      <name val="Arial"/>
    </font>
    <font>
      <b/>
      <sz val="11.0"/>
      <color rgb="FF333333"/>
      <name val="Arial"/>
    </font>
    <font>
      <b/>
      <sz val="9.0"/>
      <color rgb="FF1A5276"/>
      <name val="Arial"/>
    </font>
    <font>
      <i/>
      <sz val="8.0"/>
      <color rgb="FF888888"/>
      <name val="Arial"/>
    </font>
    <font>
      <i/>
      <sz val="9.0"/>
      <color rgb="FF555555"/>
      <name val="Arial"/>
    </font>
    <font>
      <b/>
      <sz val="11.0"/>
      <color rgb="FF784212"/>
      <name val="Arial"/>
    </font>
    <font>
      <b/>
      <sz val="9.0"/>
      <color rgb="FF784212"/>
      <name val="Arial"/>
    </font>
    <font>
      <i/>
      <sz val="8.0"/>
      <color rgb="FF784212"/>
      <name val="Arial"/>
    </font>
    <font>
      <i/>
      <sz val="8.0"/>
      <color rgb="FF7D6608"/>
      <name val="Arial"/>
    </font>
    <font>
      <sz val="9.0"/>
      <color rgb="FF7D6608"/>
      <name val="Arial"/>
    </font>
    <font>
      <b/>
      <sz val="11.0"/>
      <color rgb="FF1E8449"/>
      <name val="Arial"/>
    </font>
    <font>
      <i/>
      <sz val="8.0"/>
      <color rgb="FF1E8449"/>
      <name val="Arial"/>
    </font>
    <font>
      <sz val="9.0"/>
      <color rgb="FF1E8449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8C61"/>
        <bgColor rgb="FFFF8C61"/>
      </patternFill>
    </fill>
    <fill>
      <patternFill patternType="solid">
        <fgColor rgb="FFFFF8F5"/>
        <bgColor rgb="FFFFF8F5"/>
      </patternFill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2F3F4"/>
        <bgColor rgb="FFF2F3F4"/>
      </patternFill>
    </fill>
    <fill>
      <patternFill patternType="solid">
        <fgColor rgb="FFFFA985"/>
        <bgColor rgb="FFFFA985"/>
      </patternFill>
    </fill>
    <fill>
      <patternFill patternType="solid">
        <fgColor rgb="FF2471A3"/>
        <bgColor rgb="FF2471A3"/>
      </patternFill>
    </fill>
    <fill>
      <patternFill patternType="solid">
        <fgColor rgb="FFD6EAF8"/>
        <bgColor rgb="FFD6EAF8"/>
      </patternFill>
    </fill>
    <fill>
      <patternFill patternType="solid">
        <fgColor rgb="FFC8DCF0"/>
        <bgColor rgb="FFC8DCF0"/>
      </patternFill>
    </fill>
    <fill>
      <patternFill patternType="solid">
        <fgColor rgb="FFFEF0E7"/>
        <bgColor rgb="FFFEF0E7"/>
      </patternFill>
    </fill>
    <fill>
      <patternFill patternType="solid">
        <fgColor rgb="FFF5CBA7"/>
        <bgColor rgb="FFF5CBA7"/>
      </patternFill>
    </fill>
    <fill>
      <patternFill patternType="solid">
        <fgColor rgb="FFF9EBEA"/>
        <bgColor rgb="FFF9EBEA"/>
      </patternFill>
    </fill>
    <fill>
      <patternFill patternType="solid">
        <fgColor rgb="FFFAD7A0"/>
        <bgColor rgb="FFFAD7A0"/>
      </patternFill>
    </fill>
    <fill>
      <patternFill patternType="solid">
        <fgColor rgb="FFFDEBD0"/>
        <bgColor rgb="FFFDEBD0"/>
      </patternFill>
    </fill>
    <fill>
      <patternFill patternType="solid">
        <fgColor rgb="FFFDFDE3"/>
        <bgColor rgb="FFFDFDE3"/>
      </patternFill>
    </fill>
    <fill>
      <patternFill patternType="solid">
        <fgColor rgb="FFD5D8DC"/>
        <bgColor rgb="FFD5D8DC"/>
      </patternFill>
    </fill>
    <fill>
      <patternFill patternType="solid">
        <fgColor rgb="FFE9F7EF"/>
        <bgColor rgb="FFE9F7EF"/>
      </patternFill>
    </fill>
    <fill>
      <patternFill patternType="solid">
        <fgColor rgb="FFA9DFBF"/>
        <bgColor rgb="FFA9DFB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6" fontId="7" numFmtId="164" xfId="0" applyAlignment="1" applyBorder="1" applyFill="1" applyFont="1" applyNumberFormat="1">
      <alignment horizontal="center" shrinkToFit="0" vertical="center" wrapText="0"/>
    </xf>
    <xf borderId="4" fillId="7" fontId="5" numFmtId="0" xfId="0" applyAlignment="1" applyBorder="1" applyFill="1" applyFont="1">
      <alignment horizontal="right" shrinkToFit="0" vertical="center" wrapText="0"/>
    </xf>
    <xf borderId="4" fillId="5" fontId="8" numFmtId="0" xfId="0" applyAlignment="1" applyBorder="1" applyFill="1" applyFont="1">
      <alignment horizontal="left" shrinkToFit="0" vertical="center" wrapText="1"/>
    </xf>
    <xf borderId="4" fillId="2" fontId="9" numFmtId="0" xfId="0" applyAlignment="1" applyBorder="1" applyFill="1" applyFont="1">
      <alignment horizontal="center" shrinkToFit="0" vertical="center" wrapText="0"/>
    </xf>
    <xf borderId="1" fillId="8" fontId="10" numFmtId="0" xfId="0" applyAlignment="1" applyBorder="1" applyFill="1" applyFont="1">
      <alignment horizontal="left" shrinkToFit="0" vertical="center" wrapText="0"/>
    </xf>
    <xf borderId="4" fillId="9" fontId="9" numFmtId="0" xfId="0" applyAlignment="1" applyBorder="1" applyFill="1" applyFont="1">
      <alignment horizontal="center" shrinkToFit="0" vertical="center" wrapText="0"/>
    </xf>
    <xf borderId="4" fillId="6" fontId="7" numFmtId="9" xfId="0" applyAlignment="1" applyBorder="1" applyFill="1" applyFont="1" applyNumberForma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165" xfId="0" applyAlignment="1" applyBorder="1" applyFill="1" applyFont="1" applyNumberFormat="1">
      <alignment horizontal="center" shrinkToFit="0" vertical="center" wrapText="0"/>
    </xf>
    <xf borderId="4" fillId="6" fontId="7" numFmtId="165" xfId="0" applyAlignment="1" applyBorder="1" applyFill="1" applyFont="1" applyNumberFormat="1">
      <alignment horizontal="center" shrinkToFit="0" vertical="center" wrapText="0"/>
    </xf>
    <xf borderId="4" fillId="10" fontId="11" numFmtId="165" xfId="0" applyAlignment="1" applyBorder="1" applyFill="1" applyFont="1" applyNumberFormat="1">
      <alignment horizontal="center" shrinkToFit="0" vertical="center" wrapText="0"/>
    </xf>
    <xf borderId="4" fillId="7" fontId="12" numFmtId="0" xfId="0" applyAlignment="1" applyBorder="1" applyFill="1" applyFont="1">
      <alignment horizontal="left" shrinkToFit="0" vertical="center" wrapText="0"/>
    </xf>
    <xf borderId="4" fillId="3" fontId="13" numFmtId="0" xfId="0" applyAlignment="1" applyBorder="1" applyFill="1" applyFont="1">
      <alignment horizontal="left" shrinkToFit="0" vertical="center" wrapText="0"/>
    </xf>
    <xf borderId="4" fillId="7" fontId="12" numFmtId="166" xfId="0" applyAlignment="1" applyBorder="1" applyFill="1" applyFont="1" applyNumberFormat="1">
      <alignment horizontal="center" shrinkToFit="0" vertical="center" wrapText="0"/>
    </xf>
    <xf borderId="4" fillId="3" fontId="8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0"/>
    </xf>
    <xf borderId="4" fillId="11" fontId="12" numFmtId="166" xfId="0" applyAlignment="1" applyBorder="1" applyFill="1" applyFont="1" applyNumberFormat="1">
      <alignment horizontal="center" shrinkToFit="0" vertical="center" wrapText="0"/>
    </xf>
    <xf borderId="4" fillId="10" fontId="7" numFmtId="164" xfId="0" applyAlignment="1" applyBorder="1" applyFill="1" applyFont="1" applyNumberFormat="1">
      <alignment horizontal="center" shrinkToFit="0" vertical="center" wrapText="0"/>
    </xf>
    <xf borderId="4" fillId="6" fontId="8" numFmtId="0" xfId="0" applyAlignment="1" applyBorder="1" applyFill="1" applyFont="1">
      <alignment horizontal="left" shrinkToFit="0" vertical="center" wrapText="0"/>
    </xf>
    <xf borderId="1" fillId="12" fontId="14" numFmtId="0" xfId="0" applyAlignment="1" applyBorder="1" applyFill="1" applyFont="1">
      <alignment horizontal="left" shrinkToFit="0" vertical="center" wrapText="0"/>
    </xf>
    <xf borderId="4" fillId="12" fontId="15" numFmtId="0" xfId="0" applyAlignment="1" applyBorder="1" applyFill="1" applyFont="1">
      <alignment horizontal="left" shrinkToFit="0" vertical="center" wrapText="0"/>
    </xf>
    <xf borderId="4" fillId="6" fontId="7" numFmtId="167" xfId="0" applyAlignment="1" applyBorder="1" applyFill="1" applyFont="1" applyNumberFormat="1">
      <alignment horizontal="center" shrinkToFit="0" vertical="center" wrapText="0"/>
    </xf>
    <xf borderId="4" fillId="12" fontId="15" numFmtId="168" xfId="0" applyAlignment="1" applyBorder="1" applyFill="1" applyFont="1" applyNumberFormat="1">
      <alignment horizontal="center" shrinkToFit="0" vertical="center" wrapText="0"/>
    </xf>
    <xf borderId="4" fillId="13" fontId="15" numFmtId="168" xfId="0" applyAlignment="1" applyBorder="1" applyFill="1" applyFont="1" applyNumberFormat="1">
      <alignment horizontal="center" shrinkToFit="0" vertical="center" wrapText="0"/>
    </xf>
    <xf borderId="4" fillId="5" fontId="5" numFmtId="165" xfId="0" applyAlignment="1" applyBorder="1" applyFill="1" applyFont="1" applyNumberFormat="1">
      <alignment horizontal="center" readingOrder="0" shrinkToFit="0" vertical="center" wrapText="0"/>
    </xf>
    <xf borderId="4" fillId="3" fontId="6" numFmtId="0" xfId="0" applyAlignment="1" applyBorder="1" applyFill="1" applyFont="1">
      <alignment horizontal="left" shrinkToFit="0" vertical="center" wrapText="0"/>
    </xf>
    <xf borderId="4" fillId="3" fontId="6" numFmtId="165" xfId="0" applyAlignment="1" applyBorder="1" applyFill="1" applyFont="1" applyNumberFormat="1">
      <alignment horizontal="center" shrinkToFit="0" vertical="center" wrapText="0"/>
    </xf>
    <xf borderId="4" fillId="14" fontId="6" numFmtId="0" xfId="0" applyAlignment="1" applyBorder="1" applyFill="1" applyFont="1">
      <alignment horizontal="left" shrinkToFit="0" vertical="center" wrapText="0"/>
    </xf>
    <xf borderId="4" fillId="14" fontId="6" numFmtId="165" xfId="0" applyAlignment="1" applyBorder="1" applyFill="1" applyFont="1" applyNumberFormat="1">
      <alignment horizontal="center" shrinkToFit="0" vertical="center" wrapText="0"/>
    </xf>
    <xf borderId="4" fillId="15" fontId="12" numFmtId="0" xfId="0" applyAlignment="1" applyBorder="1" applyFill="1" applyFont="1">
      <alignment horizontal="left" shrinkToFit="0" vertical="center" wrapText="0"/>
    </xf>
    <xf borderId="4" fillId="15" fontId="12" numFmtId="166" xfId="0" applyAlignment="1" applyBorder="1" applyFill="1" applyFont="1" applyNumberFormat="1">
      <alignment horizontal="center" shrinkToFit="0" vertical="center" wrapText="0"/>
    </xf>
    <xf borderId="1" fillId="16" fontId="16" numFmtId="0" xfId="0" applyAlignment="1" applyBorder="1" applyFill="1" applyFont="1">
      <alignment horizontal="left" shrinkToFit="0" vertical="center" wrapText="1"/>
    </xf>
    <xf borderId="1" fillId="17" fontId="17" numFmtId="0" xfId="0" applyAlignment="1" applyBorder="1" applyFill="1" applyFont="1">
      <alignment horizontal="left" shrinkToFit="0" vertical="center" wrapText="1"/>
    </xf>
    <xf borderId="4" fillId="18" fontId="5" numFmtId="0" xfId="0" applyAlignment="1" applyBorder="1" applyFill="1" applyFont="1">
      <alignment horizontal="center" shrinkToFit="0" vertical="center" wrapText="0"/>
    </xf>
    <xf borderId="4" fillId="17" fontId="18" numFmtId="0" xfId="0" applyAlignment="1" applyBorder="1" applyFill="1" applyFont="1">
      <alignment horizontal="left" shrinkToFit="0" vertical="center" wrapText="0"/>
    </xf>
    <xf borderId="4" fillId="17" fontId="18" numFmtId="165" xfId="0" applyAlignment="1" applyBorder="1" applyFill="1" applyFont="1" applyNumberFormat="1">
      <alignment horizontal="center" shrinkToFit="0" vertical="center" wrapText="0"/>
    </xf>
    <xf borderId="5" fillId="3" fontId="4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19" fontId="19" numFmtId="0" xfId="0" applyAlignment="1" applyBorder="1" applyFill="1" applyFont="1">
      <alignment horizontal="left" shrinkToFit="0" vertical="center" wrapText="0"/>
    </xf>
    <xf borderId="1" fillId="19" fontId="20" numFmtId="0" xfId="0" applyAlignment="1" applyBorder="1" applyFill="1" applyFont="1">
      <alignment horizontal="left" shrinkToFit="0" vertical="center" wrapText="1"/>
    </xf>
    <xf borderId="4" fillId="19" fontId="21" numFmtId="0" xfId="0" applyAlignment="1" applyBorder="1" applyFill="1" applyFont="1">
      <alignment horizontal="left" shrinkToFit="0" vertical="center" wrapText="0"/>
    </xf>
    <xf borderId="4" fillId="19" fontId="21" numFmtId="169" xfId="0" applyAlignment="1" applyBorder="1" applyFill="1" applyFont="1" applyNumberFormat="1">
      <alignment horizontal="center" shrinkToFit="0" vertical="center" wrapText="0"/>
    </xf>
    <xf borderId="4" fillId="20" fontId="21" numFmtId="169" xfId="0" applyAlignment="1" applyBorder="1" applyFill="1" applyFont="1" applyNumberForma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52.0"/>
    <col customWidth="1" min="4" max="26" width="8.71"/>
  </cols>
  <sheetData>
    <row r="1" ht="31.5" customHeight="1">
      <c r="A1" s="1" t="s">
        <v>1</v>
      </c>
      <c r="B1" s="2"/>
      <c r="C1" s="3"/>
    </row>
    <row r="2" ht="6.0" customHeight="1"/>
    <row r="3" ht="21.75" customHeight="1">
      <c r="A3" s="4" t="s">
        <v>2</v>
      </c>
      <c r="B3" s="2"/>
      <c r="C3" s="3"/>
    </row>
    <row r="4" ht="15.75" customHeight="1">
      <c r="A4" s="6" t="s">
        <v>4</v>
      </c>
      <c r="B4" s="6" t="s">
        <v>5</v>
      </c>
      <c r="C4" s="6" t="s">
        <v>6</v>
      </c>
    </row>
    <row r="5" ht="15.75" customHeight="1">
      <c r="A5" s="7" t="s">
        <v>8</v>
      </c>
      <c r="B5" s="8">
        <v>62.5</v>
      </c>
      <c r="C5" s="10" t="s">
        <v>10</v>
      </c>
    </row>
    <row r="6" ht="15.75" customHeight="1">
      <c r="A6" s="7" t="s">
        <v>12</v>
      </c>
      <c r="B6" s="8">
        <v>95.0</v>
      </c>
      <c r="C6" s="10" t="s">
        <v>16</v>
      </c>
    </row>
    <row r="7" ht="7.5" customHeight="1"/>
    <row r="8" ht="21.75" customHeight="1">
      <c r="A8" s="12" t="s">
        <v>20</v>
      </c>
      <c r="B8" s="2"/>
      <c r="C8" s="3"/>
    </row>
    <row r="9" ht="15.75" customHeight="1">
      <c r="A9" s="6" t="s">
        <v>4</v>
      </c>
      <c r="B9" s="6" t="s">
        <v>5</v>
      </c>
      <c r="C9" s="6" t="s">
        <v>6</v>
      </c>
    </row>
    <row r="10" ht="15.75" customHeight="1">
      <c r="A10" s="7" t="s">
        <v>33</v>
      </c>
      <c r="B10" s="14">
        <v>0.4</v>
      </c>
      <c r="C10" s="10" t="s">
        <v>36</v>
      </c>
    </row>
    <row r="11" ht="15.75" customHeight="1">
      <c r="A11" s="7" t="s">
        <v>39</v>
      </c>
      <c r="B11" s="14">
        <v>0.5</v>
      </c>
      <c r="C11" s="10" t="s">
        <v>42</v>
      </c>
    </row>
    <row r="12" ht="15.75" customHeight="1">
      <c r="A12" s="7" t="s">
        <v>44</v>
      </c>
      <c r="B12" s="14">
        <v>0.45</v>
      </c>
      <c r="C12" s="10" t="s">
        <v>45</v>
      </c>
    </row>
    <row r="13" ht="15.75" customHeight="1">
      <c r="A13" s="7" t="s">
        <v>46</v>
      </c>
      <c r="B13" s="14">
        <v>0.38</v>
      </c>
      <c r="C13" s="10" t="s">
        <v>47</v>
      </c>
    </row>
    <row r="14" ht="7.5" customHeight="1"/>
    <row r="15" ht="21.75" customHeight="1">
      <c r="A15" s="4" t="s">
        <v>48</v>
      </c>
      <c r="B15" s="2"/>
      <c r="C15" s="3"/>
    </row>
    <row r="16" ht="15.75" customHeight="1">
      <c r="A16" s="6" t="s">
        <v>4</v>
      </c>
      <c r="B16" s="6" t="s">
        <v>5</v>
      </c>
      <c r="C16" s="6" t="s">
        <v>6</v>
      </c>
    </row>
    <row r="17" ht="15.75" customHeight="1">
      <c r="A17" s="7" t="s">
        <v>49</v>
      </c>
      <c r="B17" s="17">
        <v>5.0</v>
      </c>
      <c r="C17" s="10" t="s">
        <v>50</v>
      </c>
    </row>
    <row r="18" ht="15.75" customHeight="1">
      <c r="A18" s="7" t="s">
        <v>51</v>
      </c>
      <c r="B18" s="17">
        <v>8.0</v>
      </c>
      <c r="C18" s="10"/>
    </row>
    <row r="19" ht="15.75" customHeight="1">
      <c r="A19" s="7" t="s">
        <v>52</v>
      </c>
      <c r="B19" s="17">
        <v>10.0</v>
      </c>
      <c r="C19" s="10"/>
    </row>
    <row r="20" ht="15.75" customHeight="1">
      <c r="A20" s="7" t="s">
        <v>53</v>
      </c>
      <c r="B20" s="17">
        <v>12.0</v>
      </c>
      <c r="C20" s="10"/>
    </row>
    <row r="21" ht="15.75" customHeight="1">
      <c r="A21" s="7" t="s">
        <v>55</v>
      </c>
      <c r="B21" s="17">
        <v>15.0</v>
      </c>
      <c r="C21" s="10" t="s">
        <v>56</v>
      </c>
    </row>
    <row r="22" ht="15.75" customHeight="1">
      <c r="A22" s="20" t="s">
        <v>57</v>
      </c>
      <c r="B22" s="17">
        <f>B19</f>
        <v>10</v>
      </c>
      <c r="C22" s="22" t="s">
        <v>58</v>
      </c>
    </row>
    <row r="23" ht="7.5" customHeight="1"/>
    <row r="24" ht="21.75" customHeight="1">
      <c r="A24" s="4" t="s">
        <v>59</v>
      </c>
      <c r="B24" s="2"/>
      <c r="C24" s="3"/>
    </row>
    <row r="25" ht="15.75" customHeight="1">
      <c r="A25" s="6" t="s">
        <v>4</v>
      </c>
      <c r="B25" s="6" t="s">
        <v>5</v>
      </c>
      <c r="C25" s="6" t="s">
        <v>6</v>
      </c>
    </row>
    <row r="26" ht="15.75" customHeight="1">
      <c r="A26" s="7" t="s">
        <v>60</v>
      </c>
      <c r="B26" s="8">
        <v>45.0</v>
      </c>
      <c r="C26" s="10" t="s">
        <v>61</v>
      </c>
    </row>
    <row r="27" ht="15.75" customHeight="1">
      <c r="A27" s="7" t="s">
        <v>62</v>
      </c>
      <c r="B27" s="8">
        <v>25.0</v>
      </c>
      <c r="C27" s="10" t="s">
        <v>63</v>
      </c>
    </row>
    <row r="28" ht="15.75" customHeight="1">
      <c r="A28" s="23" t="s">
        <v>64</v>
      </c>
      <c r="B28" s="25">
        <f>B26+B27</f>
        <v>70</v>
      </c>
      <c r="C28" s="26" t="s">
        <v>65</v>
      </c>
    </row>
    <row r="29" ht="7.5" customHeight="1"/>
    <row r="30" ht="21.75" customHeight="1">
      <c r="A30" s="27" t="s">
        <v>66</v>
      </c>
      <c r="B30" s="2"/>
      <c r="C30" s="3"/>
    </row>
    <row r="31" ht="15.75" customHeight="1">
      <c r="A31" s="6" t="s">
        <v>68</v>
      </c>
      <c r="B31" s="6" t="s">
        <v>69</v>
      </c>
      <c r="C31" s="6" t="s">
        <v>70</v>
      </c>
    </row>
    <row r="32" ht="15.75" customHeight="1">
      <c r="A32" s="7" t="s">
        <v>71</v>
      </c>
      <c r="B32" s="29">
        <v>2.625</v>
      </c>
      <c r="C32" s="10" t="s">
        <v>72</v>
      </c>
    </row>
    <row r="33" ht="15.75" customHeight="1">
      <c r="A33" s="7" t="s">
        <v>73</v>
      </c>
      <c r="B33" s="29">
        <v>1.875</v>
      </c>
      <c r="C33" s="10" t="s">
        <v>74</v>
      </c>
    </row>
    <row r="34" ht="15.75" customHeight="1">
      <c r="A34" s="7" t="s">
        <v>75</v>
      </c>
      <c r="B34" s="29">
        <v>2.625</v>
      </c>
      <c r="C34" s="10" t="s">
        <v>76</v>
      </c>
    </row>
    <row r="35" ht="15.75" customHeight="1">
      <c r="A35" s="7" t="s">
        <v>77</v>
      </c>
      <c r="B35" s="29">
        <v>3.125</v>
      </c>
      <c r="C35" s="10" t="s">
        <v>78</v>
      </c>
    </row>
    <row r="36" ht="7.5" customHeight="1"/>
    <row r="37" ht="21.75" customHeight="1">
      <c r="A37" s="4" t="s">
        <v>79</v>
      </c>
      <c r="B37" s="2"/>
      <c r="C37" s="3"/>
    </row>
    <row r="38" ht="15.75" customHeight="1">
      <c r="A38" s="6" t="s">
        <v>4</v>
      </c>
      <c r="B38" s="6" t="s">
        <v>5</v>
      </c>
      <c r="C38" s="6" t="s">
        <v>6</v>
      </c>
    </row>
    <row r="39" ht="15.75" customHeight="1">
      <c r="A39" s="7" t="s">
        <v>80</v>
      </c>
      <c r="B39" s="14">
        <v>0.15</v>
      </c>
      <c r="C39" s="10" t="s">
        <v>81</v>
      </c>
    </row>
    <row r="40" ht="15.75" customHeight="1">
      <c r="A40" s="7" t="s">
        <v>82</v>
      </c>
      <c r="B40" s="14">
        <v>0.25</v>
      </c>
      <c r="C40" s="10" t="s">
        <v>83</v>
      </c>
    </row>
    <row r="41" ht="15.75" customHeight="1">
      <c r="A41" s="7" t="s">
        <v>84</v>
      </c>
      <c r="B41" s="14">
        <v>0.3</v>
      </c>
      <c r="C41" s="10" t="s">
        <v>85</v>
      </c>
    </row>
    <row r="42" ht="7.5" customHeight="1"/>
    <row r="43" ht="21.75" customHeight="1">
      <c r="A43" s="4" t="s">
        <v>86</v>
      </c>
      <c r="B43" s="2"/>
      <c r="C43" s="3"/>
    </row>
    <row r="44" ht="15.75" customHeight="1">
      <c r="A44" s="7" t="s">
        <v>87</v>
      </c>
      <c r="B44" s="17">
        <v>200.0</v>
      </c>
      <c r="C44" s="10"/>
    </row>
    <row r="45" ht="15.75" customHeight="1">
      <c r="A45" s="7" t="s">
        <v>88</v>
      </c>
      <c r="B45" s="17">
        <v>200.0</v>
      </c>
      <c r="C45" s="10"/>
    </row>
    <row r="46" ht="15.75" customHeight="1">
      <c r="A46" s="7" t="s">
        <v>89</v>
      </c>
      <c r="B46" s="17">
        <v>150.0</v>
      </c>
      <c r="C46" s="10"/>
    </row>
    <row r="47" ht="15.75" customHeight="1">
      <c r="A47" s="7" t="s">
        <v>90</v>
      </c>
      <c r="B47" s="17">
        <v>350.0</v>
      </c>
      <c r="C47" s="10"/>
    </row>
    <row r="48" ht="15.75" customHeight="1">
      <c r="A48" s="7" t="s">
        <v>91</v>
      </c>
      <c r="B48" s="17">
        <v>450.0</v>
      </c>
      <c r="C48" s="1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3:C3"/>
    <mergeCell ref="A8:C8"/>
    <mergeCell ref="A15:C15"/>
    <mergeCell ref="A24:C24"/>
    <mergeCell ref="A30:C30"/>
    <mergeCell ref="A37:C37"/>
    <mergeCell ref="A43:C4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9.71"/>
    <col customWidth="1" min="2" max="2" width="12.43"/>
    <col customWidth="1" min="3" max="3" width="15.71"/>
    <col customWidth="1" min="4" max="4" width="12.43"/>
    <col customWidth="1" min="5" max="5" width="8.0"/>
    <col customWidth="1" min="6" max="9" width="6.0"/>
    <col customWidth="1" min="10" max="10" width="6.43"/>
    <col customWidth="1" min="11" max="11" width="6.29"/>
    <col customWidth="1" min="12" max="26" width="6.4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4.0" customHeight="1">
      <c r="A2" s="5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21.75" customHeight="1">
      <c r="A3" s="4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18.0" customHeight="1">
      <c r="A4" s="9" t="s">
        <v>9</v>
      </c>
      <c r="B4" s="11" t="s">
        <v>11</v>
      </c>
      <c r="C4" s="11" t="s">
        <v>13</v>
      </c>
      <c r="D4" s="11" t="s">
        <v>14</v>
      </c>
      <c r="E4" s="11" t="s">
        <v>15</v>
      </c>
      <c r="F4" s="11" t="s">
        <v>17</v>
      </c>
      <c r="G4" s="11" t="s">
        <v>18</v>
      </c>
      <c r="H4" s="11" t="s">
        <v>19</v>
      </c>
      <c r="I4" s="11" t="s">
        <v>21</v>
      </c>
      <c r="J4" s="11" t="s">
        <v>22</v>
      </c>
      <c r="K4" s="11" t="s">
        <v>23</v>
      </c>
      <c r="L4" s="11" t="s">
        <v>24</v>
      </c>
      <c r="M4" s="11" t="s">
        <v>25</v>
      </c>
      <c r="N4" s="11" t="s">
        <v>26</v>
      </c>
      <c r="O4" s="11" t="s">
        <v>27</v>
      </c>
      <c r="P4" s="11" t="s">
        <v>28</v>
      </c>
      <c r="Q4" s="11" t="s">
        <v>29</v>
      </c>
      <c r="R4" s="11" t="s">
        <v>30</v>
      </c>
      <c r="S4" s="11" t="s">
        <v>31</v>
      </c>
      <c r="T4" s="13" t="s">
        <v>32</v>
      </c>
      <c r="U4" s="13" t="s">
        <v>34</v>
      </c>
      <c r="V4" s="13" t="s">
        <v>35</v>
      </c>
      <c r="W4" s="13" t="s">
        <v>37</v>
      </c>
      <c r="X4" s="13" t="s">
        <v>38</v>
      </c>
      <c r="Y4" s="13" t="s">
        <v>40</v>
      </c>
      <c r="Z4" s="13" t="s">
        <v>41</v>
      </c>
    </row>
    <row r="5" ht="15.75" customHeight="1">
      <c r="A5" s="15" t="s">
        <v>43</v>
      </c>
      <c r="B5" s="16">
        <v>276.0</v>
      </c>
      <c r="C5" s="16">
        <v>311.0</v>
      </c>
      <c r="D5" s="16">
        <v>346.0</v>
      </c>
      <c r="E5" s="16">
        <v>381.0</v>
      </c>
      <c r="F5" s="16">
        <v>416.0</v>
      </c>
      <c r="G5" s="16">
        <v>451.0</v>
      </c>
      <c r="H5" s="16">
        <v>506.0</v>
      </c>
      <c r="I5" s="16">
        <v>561.0</v>
      </c>
      <c r="J5" s="16">
        <v>616.0</v>
      </c>
      <c r="K5" s="16">
        <v>671.0</v>
      </c>
      <c r="L5" s="16">
        <v>726.0</v>
      </c>
      <c r="M5" s="16">
        <v>781.0</v>
      </c>
      <c r="N5" s="16">
        <v>836.0</v>
      </c>
      <c r="O5" s="16">
        <v>891.0</v>
      </c>
      <c r="P5" s="16">
        <v>946.0</v>
      </c>
      <c r="Q5" s="16">
        <v>1001.0</v>
      </c>
      <c r="R5" s="16">
        <v>1056.0</v>
      </c>
      <c r="S5" s="16">
        <v>1170.0</v>
      </c>
      <c r="T5" s="18">
        <v>1350.0</v>
      </c>
      <c r="U5" s="18">
        <v>1550.0</v>
      </c>
      <c r="V5" s="18">
        <v>1750.0</v>
      </c>
      <c r="W5" s="18">
        <v>1950.0</v>
      </c>
      <c r="X5" s="18">
        <v>2150.0</v>
      </c>
      <c r="Y5" s="18">
        <v>2350.0</v>
      </c>
      <c r="Z5" s="18">
        <v>2550.0</v>
      </c>
    </row>
    <row r="6" ht="12.75" customHeight="1">
      <c r="A6" s="19" t="s">
        <v>54</v>
      </c>
      <c r="B6" s="21">
        <f t="shared" ref="B6:Z6" si="1">IF(B4&gt;0,B5/B4,"")</f>
        <v>0.368</v>
      </c>
      <c r="C6" s="21">
        <f t="shared" si="1"/>
        <v>0.311</v>
      </c>
      <c r="D6" s="21">
        <f t="shared" si="1"/>
        <v>0.2768</v>
      </c>
      <c r="E6" s="21">
        <f t="shared" si="1"/>
        <v>0.254</v>
      </c>
      <c r="F6" s="21">
        <f t="shared" si="1"/>
        <v>0.2311111111</v>
      </c>
      <c r="G6" s="21">
        <f t="shared" si="1"/>
        <v>0.2147619048</v>
      </c>
      <c r="H6" s="21">
        <f t="shared" si="1"/>
        <v>0.2108333333</v>
      </c>
      <c r="I6" s="21">
        <f t="shared" si="1"/>
        <v>0.2077777778</v>
      </c>
      <c r="J6" s="21">
        <f t="shared" si="1"/>
        <v>0.2053333333</v>
      </c>
      <c r="K6" s="21">
        <f t="shared" si="1"/>
        <v>0.2033333333</v>
      </c>
      <c r="L6" s="21">
        <f t="shared" si="1"/>
        <v>0.2016666667</v>
      </c>
      <c r="M6" s="21">
        <f t="shared" si="1"/>
        <v>0.19525</v>
      </c>
      <c r="N6" s="21">
        <f t="shared" si="1"/>
        <v>0.19</v>
      </c>
      <c r="O6" s="21">
        <f t="shared" si="1"/>
        <v>0.1895744681</v>
      </c>
      <c r="P6" s="21">
        <f t="shared" si="1"/>
        <v>0.1819230769</v>
      </c>
      <c r="Q6" s="21">
        <f t="shared" si="1"/>
        <v>0.17875</v>
      </c>
      <c r="R6" s="21">
        <f t="shared" si="1"/>
        <v>0.176</v>
      </c>
      <c r="S6" s="21">
        <f t="shared" si="1"/>
        <v>0.18</v>
      </c>
      <c r="T6" s="24">
        <f t="shared" si="1"/>
        <v>0.1928571429</v>
      </c>
      <c r="U6" s="24">
        <f t="shared" si="1"/>
        <v>0.2066666667</v>
      </c>
      <c r="V6" s="24">
        <f t="shared" si="1"/>
        <v>0.21875</v>
      </c>
      <c r="W6" s="24">
        <f t="shared" si="1"/>
        <v>0.2294117647</v>
      </c>
      <c r="X6" s="24">
        <f t="shared" si="1"/>
        <v>0.2388888889</v>
      </c>
      <c r="Y6" s="24">
        <f t="shared" si="1"/>
        <v>0.2473684211</v>
      </c>
      <c r="Z6" s="24">
        <f t="shared" si="1"/>
        <v>0.255</v>
      </c>
    </row>
    <row r="7" ht="15.75" customHeight="1">
      <c r="A7" s="28" t="s">
        <v>67</v>
      </c>
      <c r="B7" s="30">
        <f>ROUND(B4/1000*Assumptions!$B$32,1)</f>
        <v>2</v>
      </c>
      <c r="C7" s="30">
        <f>ROUND(C4/1000*Assumptions!$B$32,1)</f>
        <v>2.6</v>
      </c>
      <c r="D7" s="30">
        <f>ROUND(D4/1000*Assumptions!$B$32,1)</f>
        <v>3.3</v>
      </c>
      <c r="E7" s="30">
        <f>ROUND(E4/1000*Assumptions!$B$32,1)</f>
        <v>3.9</v>
      </c>
      <c r="F7" s="30">
        <f>ROUND(F4/1000*Assumptions!$B$32,1)</f>
        <v>4.7</v>
      </c>
      <c r="G7" s="30">
        <f>ROUND(G4/1000*Assumptions!$B$32,1)</f>
        <v>5.5</v>
      </c>
      <c r="H7" s="30">
        <f>ROUND(H4/1000*Assumptions!$B$32,1)</f>
        <v>6.3</v>
      </c>
      <c r="I7" s="30">
        <f>ROUND(I4/1000*Assumptions!$B$32,1)</f>
        <v>7.1</v>
      </c>
      <c r="J7" s="30">
        <f>ROUND(J4/1000*Assumptions!$B$32,1)</f>
        <v>7.9</v>
      </c>
      <c r="K7" s="30">
        <f>ROUND(K4/1000*Assumptions!$B$32,1)</f>
        <v>8.7</v>
      </c>
      <c r="L7" s="30">
        <f>ROUND(L4/1000*Assumptions!$B$32,1)</f>
        <v>9.5</v>
      </c>
      <c r="M7" s="30">
        <f>ROUND(M4/1000*Assumptions!$B$32,1)</f>
        <v>10.5</v>
      </c>
      <c r="N7" s="30">
        <f>ROUND(N4/1000*Assumptions!$B$32,1)</f>
        <v>11.6</v>
      </c>
      <c r="O7" s="30">
        <f>ROUND(O4/1000*Assumptions!$B$32,1)</f>
        <v>12.3</v>
      </c>
      <c r="P7" s="30">
        <f>ROUND(P4/1000*Assumptions!$B$32,1)</f>
        <v>13.7</v>
      </c>
      <c r="Q7" s="30">
        <f>ROUND(Q4/1000*Assumptions!$B$32,1)</f>
        <v>14.7</v>
      </c>
      <c r="R7" s="30">
        <f>ROUND(R4/1000*Assumptions!$B$32,1)</f>
        <v>15.8</v>
      </c>
      <c r="S7" s="30">
        <f>ROUND(S4/1000*Assumptions!$B$32,1)</f>
        <v>17.1</v>
      </c>
      <c r="T7" s="31">
        <f>ROUND(T4/1000*Assumptions!$B$32,1)</f>
        <v>18.4</v>
      </c>
      <c r="U7" s="31">
        <f>ROUND(U4/1000*Assumptions!$B$32,1)</f>
        <v>19.7</v>
      </c>
      <c r="V7" s="31">
        <f>ROUND(V4/1000*Assumptions!$B$32,1)</f>
        <v>21</v>
      </c>
      <c r="W7" s="31">
        <f>ROUND(W4/1000*Assumptions!$B$32,1)</f>
        <v>22.3</v>
      </c>
      <c r="X7" s="31">
        <f>ROUND(X4/1000*Assumptions!$B$32,1)</f>
        <v>23.6</v>
      </c>
      <c r="Y7" s="31">
        <f>ROUND(Y4/1000*Assumptions!$B$32,1)</f>
        <v>24.9</v>
      </c>
      <c r="Z7" s="31">
        <f>ROUND(Z4/1000*Assumptions!$B$32,1)</f>
        <v>26.3</v>
      </c>
    </row>
    <row r="8" ht="7.5" customHeight="1"/>
    <row r="9" ht="21.75" customHeight="1">
      <c r="A9" s="4" t="s">
        <v>92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ht="18.0" customHeight="1">
      <c r="A10" s="9" t="s">
        <v>9</v>
      </c>
      <c r="B10" s="11" t="s">
        <v>11</v>
      </c>
      <c r="C10" s="11" t="s">
        <v>13</v>
      </c>
      <c r="D10" s="11" t="s">
        <v>14</v>
      </c>
      <c r="E10" s="11" t="s">
        <v>15</v>
      </c>
      <c r="F10" s="11" t="s">
        <v>17</v>
      </c>
      <c r="G10" s="11" t="s">
        <v>18</v>
      </c>
      <c r="H10" s="11" t="s">
        <v>19</v>
      </c>
      <c r="I10" s="11" t="s">
        <v>21</v>
      </c>
      <c r="J10" s="11" t="s">
        <v>22</v>
      </c>
      <c r="K10" s="11" t="s">
        <v>23</v>
      </c>
      <c r="L10" s="11" t="s">
        <v>24</v>
      </c>
      <c r="M10" s="11" t="s">
        <v>25</v>
      </c>
      <c r="N10" s="11" t="s">
        <v>26</v>
      </c>
      <c r="O10" s="11" t="s">
        <v>27</v>
      </c>
      <c r="P10" s="11" t="s">
        <v>28</v>
      </c>
      <c r="Q10" s="11" t="s">
        <v>29</v>
      </c>
      <c r="R10" s="11" t="s">
        <v>30</v>
      </c>
      <c r="S10" s="11" t="s">
        <v>31</v>
      </c>
      <c r="T10" s="13" t="s">
        <v>32</v>
      </c>
      <c r="U10" s="13" t="s">
        <v>34</v>
      </c>
      <c r="V10" s="13" t="s">
        <v>35</v>
      </c>
      <c r="W10" s="13" t="s">
        <v>37</v>
      </c>
      <c r="X10" s="13" t="s">
        <v>38</v>
      </c>
      <c r="Y10" s="13" t="s">
        <v>40</v>
      </c>
      <c r="Z10" s="13" t="s">
        <v>41</v>
      </c>
    </row>
    <row r="11" ht="15.75" customHeight="1">
      <c r="A11" s="15" t="s">
        <v>93</v>
      </c>
      <c r="B11" s="32">
        <v>2.0</v>
      </c>
      <c r="C11" s="16">
        <v>211.0</v>
      </c>
      <c r="D11" s="16">
        <v>246.0</v>
      </c>
      <c r="E11" s="16">
        <v>281.0</v>
      </c>
      <c r="F11" s="16">
        <v>316.0</v>
      </c>
      <c r="G11" s="16">
        <v>351.0</v>
      </c>
      <c r="H11" s="16">
        <v>381.0</v>
      </c>
      <c r="I11" s="16">
        <v>436.0</v>
      </c>
      <c r="J11" s="16">
        <v>491.0</v>
      </c>
      <c r="K11" s="16">
        <v>546.0</v>
      </c>
      <c r="L11" s="16">
        <v>601.0</v>
      </c>
      <c r="M11" s="16">
        <v>656.0</v>
      </c>
      <c r="N11" s="16">
        <v>711.0</v>
      </c>
      <c r="O11" s="16">
        <v>766.0</v>
      </c>
      <c r="P11" s="16">
        <v>821.0</v>
      </c>
      <c r="Q11" s="16">
        <v>876.0</v>
      </c>
      <c r="R11" s="16">
        <v>931.0</v>
      </c>
      <c r="S11" s="16">
        <v>1045.0</v>
      </c>
      <c r="T11" s="18">
        <v>1200.0</v>
      </c>
      <c r="U11" s="18">
        <v>1375.0</v>
      </c>
      <c r="V11" s="18">
        <v>1550.0</v>
      </c>
      <c r="W11" s="18">
        <v>1725.0</v>
      </c>
      <c r="X11" s="18">
        <v>1900.0</v>
      </c>
      <c r="Y11" s="18">
        <v>2075.0</v>
      </c>
      <c r="Z11" s="18">
        <v>2250.0</v>
      </c>
    </row>
    <row r="12" ht="15.75" customHeight="1">
      <c r="A12" s="33" t="s">
        <v>94</v>
      </c>
      <c r="B12" s="34">
        <v>149.0</v>
      </c>
      <c r="C12" s="34">
        <v>179.0</v>
      </c>
      <c r="D12" s="34">
        <v>209.0</v>
      </c>
      <c r="E12" s="34">
        <v>239.0</v>
      </c>
      <c r="F12" s="34">
        <v>268.0</v>
      </c>
      <c r="G12" s="34">
        <v>298.0</v>
      </c>
      <c r="H12" s="34">
        <v>324.0</v>
      </c>
      <c r="I12" s="34">
        <v>370.0</v>
      </c>
      <c r="J12" s="34">
        <v>417.0</v>
      </c>
      <c r="K12" s="34">
        <v>464.0</v>
      </c>
      <c r="L12" s="34">
        <v>511.0</v>
      </c>
      <c r="M12" s="34">
        <v>557.0</v>
      </c>
      <c r="N12" s="34">
        <v>604.0</v>
      </c>
      <c r="O12" s="34">
        <v>651.0</v>
      </c>
      <c r="P12" s="34">
        <v>698.0</v>
      </c>
      <c r="Q12" s="34">
        <v>744.0</v>
      </c>
      <c r="R12" s="34">
        <v>791.0</v>
      </c>
      <c r="S12" s="34">
        <v>888.0</v>
      </c>
      <c r="T12" s="18">
        <v>1020.0</v>
      </c>
      <c r="U12" s="18">
        <v>1170.0</v>
      </c>
      <c r="V12" s="18">
        <v>1320.0</v>
      </c>
      <c r="W12" s="18">
        <v>1470.0</v>
      </c>
      <c r="X12" s="18">
        <v>1615.0</v>
      </c>
      <c r="Y12" s="18">
        <v>1760.0</v>
      </c>
      <c r="Z12" s="18">
        <v>1910.0</v>
      </c>
    </row>
    <row r="13" ht="15.75" customHeight="1">
      <c r="A13" s="33" t="s">
        <v>95</v>
      </c>
      <c r="B13" s="34">
        <v>132.0</v>
      </c>
      <c r="C13" s="34">
        <v>158.0</v>
      </c>
      <c r="D13" s="34">
        <v>184.0</v>
      </c>
      <c r="E13" s="34">
        <v>211.0</v>
      </c>
      <c r="F13" s="34">
        <v>237.0</v>
      </c>
      <c r="G13" s="34">
        <v>263.0</v>
      </c>
      <c r="H13" s="34">
        <v>286.0</v>
      </c>
      <c r="I13" s="34">
        <v>327.0</v>
      </c>
      <c r="J13" s="34">
        <v>368.0</v>
      </c>
      <c r="K13" s="34">
        <v>409.0</v>
      </c>
      <c r="L13" s="34">
        <v>451.0</v>
      </c>
      <c r="M13" s="34">
        <v>492.0</v>
      </c>
      <c r="N13" s="34">
        <v>533.0</v>
      </c>
      <c r="O13" s="34">
        <v>574.0</v>
      </c>
      <c r="P13" s="34">
        <v>616.0</v>
      </c>
      <c r="Q13" s="34">
        <v>657.0</v>
      </c>
      <c r="R13" s="34">
        <v>698.0</v>
      </c>
      <c r="S13" s="34">
        <v>784.0</v>
      </c>
      <c r="T13" s="18">
        <v>900.0</v>
      </c>
      <c r="U13" s="18">
        <v>1030.0</v>
      </c>
      <c r="V13" s="18">
        <v>1160.0</v>
      </c>
      <c r="W13" s="18">
        <v>1290.0</v>
      </c>
      <c r="X13" s="18">
        <v>1425.0</v>
      </c>
      <c r="Y13" s="18">
        <v>1560.0</v>
      </c>
      <c r="Z13" s="18">
        <v>1690.0</v>
      </c>
    </row>
    <row r="14" ht="15.75" customHeight="1">
      <c r="A14" s="35" t="s">
        <v>96</v>
      </c>
      <c r="B14" s="36">
        <v>123.0</v>
      </c>
      <c r="C14" s="36">
        <v>147.0</v>
      </c>
      <c r="D14" s="36">
        <v>172.0</v>
      </c>
      <c r="E14" s="36">
        <v>196.0</v>
      </c>
      <c r="F14" s="36">
        <v>221.0</v>
      </c>
      <c r="G14" s="36">
        <v>245.0</v>
      </c>
      <c r="H14" s="36">
        <v>266.0</v>
      </c>
      <c r="I14" s="36">
        <v>305.0</v>
      </c>
      <c r="J14" s="36">
        <v>343.0</v>
      </c>
      <c r="K14" s="36">
        <v>382.0</v>
      </c>
      <c r="L14" s="36">
        <v>420.0</v>
      </c>
      <c r="M14" s="36">
        <v>459.0</v>
      </c>
      <c r="N14" s="36">
        <v>497.0</v>
      </c>
      <c r="O14" s="36">
        <v>536.0</v>
      </c>
      <c r="P14" s="36">
        <v>574.0</v>
      </c>
      <c r="Q14" s="36">
        <v>613.0</v>
      </c>
      <c r="R14" s="36">
        <v>651.0</v>
      </c>
      <c r="S14" s="36">
        <v>732.0</v>
      </c>
      <c r="T14" s="18">
        <v>840.0</v>
      </c>
      <c r="U14" s="18">
        <v>960.0</v>
      </c>
      <c r="V14" s="18">
        <v>1090.0</v>
      </c>
      <c r="W14" s="18">
        <v>1210.0</v>
      </c>
      <c r="X14" s="18">
        <v>1330.0</v>
      </c>
      <c r="Y14" s="18">
        <v>1450.0</v>
      </c>
      <c r="Z14" s="18">
        <v>1580.0</v>
      </c>
    </row>
    <row r="15" ht="12.75" customHeight="1">
      <c r="A15" s="37" t="s">
        <v>97</v>
      </c>
      <c r="B15" s="38">
        <f t="shared" ref="B15:Z15" si="2">IF(B10&gt;0,B14/B10,"")</f>
        <v>0.164</v>
      </c>
      <c r="C15" s="38">
        <f t="shared" si="2"/>
        <v>0.147</v>
      </c>
      <c r="D15" s="38">
        <f t="shared" si="2"/>
        <v>0.1376</v>
      </c>
      <c r="E15" s="38">
        <f t="shared" si="2"/>
        <v>0.1306666667</v>
      </c>
      <c r="F15" s="38">
        <f t="shared" si="2"/>
        <v>0.1227777778</v>
      </c>
      <c r="G15" s="38">
        <f t="shared" si="2"/>
        <v>0.1166666667</v>
      </c>
      <c r="H15" s="38">
        <f t="shared" si="2"/>
        <v>0.1108333333</v>
      </c>
      <c r="I15" s="38">
        <f t="shared" si="2"/>
        <v>0.112962963</v>
      </c>
      <c r="J15" s="38">
        <f t="shared" si="2"/>
        <v>0.1143333333</v>
      </c>
      <c r="K15" s="38">
        <f t="shared" si="2"/>
        <v>0.1157575758</v>
      </c>
      <c r="L15" s="38">
        <f t="shared" si="2"/>
        <v>0.1166666667</v>
      </c>
      <c r="M15" s="38">
        <f t="shared" si="2"/>
        <v>0.11475</v>
      </c>
      <c r="N15" s="38">
        <f t="shared" si="2"/>
        <v>0.1129545455</v>
      </c>
      <c r="O15" s="38">
        <f t="shared" si="2"/>
        <v>0.1140425532</v>
      </c>
      <c r="P15" s="38">
        <f t="shared" si="2"/>
        <v>0.1103846154</v>
      </c>
      <c r="Q15" s="38">
        <f t="shared" si="2"/>
        <v>0.1094642857</v>
      </c>
      <c r="R15" s="38">
        <f t="shared" si="2"/>
        <v>0.1085</v>
      </c>
      <c r="S15" s="38">
        <f t="shared" si="2"/>
        <v>0.1126153846</v>
      </c>
      <c r="T15" s="24">
        <f t="shared" si="2"/>
        <v>0.12</v>
      </c>
      <c r="U15" s="24">
        <f t="shared" si="2"/>
        <v>0.128</v>
      </c>
      <c r="V15" s="24">
        <f t="shared" si="2"/>
        <v>0.13625</v>
      </c>
      <c r="W15" s="24">
        <f t="shared" si="2"/>
        <v>0.1423529412</v>
      </c>
      <c r="X15" s="24">
        <f t="shared" si="2"/>
        <v>0.1477777778</v>
      </c>
      <c r="Y15" s="24">
        <f t="shared" si="2"/>
        <v>0.1526315789</v>
      </c>
      <c r="Z15" s="24">
        <f t="shared" si="2"/>
        <v>0.158</v>
      </c>
    </row>
    <row r="16" ht="15.75" customHeight="1">
      <c r="A16" s="28" t="s">
        <v>67</v>
      </c>
      <c r="B16" s="30">
        <f>ROUND(B10/1000*Assumptions!$B$33,1)</f>
        <v>1.4</v>
      </c>
      <c r="C16" s="30">
        <f>ROUND(C10/1000*Assumptions!$B$33,1)</f>
        <v>1.9</v>
      </c>
      <c r="D16" s="30">
        <f>ROUND(D10/1000*Assumptions!$B$33,1)</f>
        <v>2.3</v>
      </c>
      <c r="E16" s="30">
        <f>ROUND(E10/1000*Assumptions!$B$33,1)</f>
        <v>2.8</v>
      </c>
      <c r="F16" s="30">
        <f>ROUND(F10/1000*Assumptions!$B$33,1)</f>
        <v>3.4</v>
      </c>
      <c r="G16" s="30">
        <f>ROUND(G10/1000*Assumptions!$B$33,1)</f>
        <v>3.9</v>
      </c>
      <c r="H16" s="30">
        <f>ROUND(H10/1000*Assumptions!$B$33,1)</f>
        <v>4.5</v>
      </c>
      <c r="I16" s="30">
        <f>ROUND(I10/1000*Assumptions!$B$33,1)</f>
        <v>5.1</v>
      </c>
      <c r="J16" s="30">
        <f>ROUND(J10/1000*Assumptions!$B$33,1)</f>
        <v>5.6</v>
      </c>
      <c r="K16" s="30">
        <f>ROUND(K10/1000*Assumptions!$B$33,1)</f>
        <v>6.2</v>
      </c>
      <c r="L16" s="30">
        <f>ROUND(L10/1000*Assumptions!$B$33,1)</f>
        <v>6.8</v>
      </c>
      <c r="M16" s="30">
        <f>ROUND(M10/1000*Assumptions!$B$33,1)</f>
        <v>7.5</v>
      </c>
      <c r="N16" s="30">
        <f>ROUND(N10/1000*Assumptions!$B$33,1)</f>
        <v>8.3</v>
      </c>
      <c r="O16" s="30">
        <f>ROUND(O10/1000*Assumptions!$B$33,1)</f>
        <v>8.8</v>
      </c>
      <c r="P16" s="30">
        <f>ROUND(P10/1000*Assumptions!$B$33,1)</f>
        <v>9.8</v>
      </c>
      <c r="Q16" s="30">
        <f>ROUND(Q10/1000*Assumptions!$B$33,1)</f>
        <v>10.5</v>
      </c>
      <c r="R16" s="30">
        <f>ROUND(R10/1000*Assumptions!$B$33,1)</f>
        <v>11.3</v>
      </c>
      <c r="S16" s="30">
        <f>ROUND(S10/1000*Assumptions!$B$33,1)</f>
        <v>12.2</v>
      </c>
      <c r="T16" s="31">
        <f>ROUND(T10/1000*Assumptions!$B$33,1)</f>
        <v>13.1</v>
      </c>
      <c r="U16" s="31">
        <f>ROUND(U10/1000*Assumptions!$B$33,1)</f>
        <v>14.1</v>
      </c>
      <c r="V16" s="31">
        <f>ROUND(V10/1000*Assumptions!$B$33,1)</f>
        <v>15</v>
      </c>
      <c r="W16" s="31">
        <f>ROUND(W10/1000*Assumptions!$B$33,1)</f>
        <v>15.9</v>
      </c>
      <c r="X16" s="31">
        <f>ROUND(X10/1000*Assumptions!$B$33,1)</f>
        <v>16.9</v>
      </c>
      <c r="Y16" s="31">
        <f>ROUND(Y10/1000*Assumptions!$B$33,1)</f>
        <v>17.8</v>
      </c>
      <c r="Z16" s="31">
        <f>ROUND(Z10/1000*Assumptions!$B$33,1)</f>
        <v>18.8</v>
      </c>
    </row>
    <row r="17" ht="7.5" customHeight="1"/>
    <row r="18" ht="21.75" customHeight="1">
      <c r="A18" s="4" t="s">
        <v>98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ht="18.0" customHeight="1">
      <c r="A19" s="9" t="s">
        <v>9</v>
      </c>
      <c r="B19" s="11" t="s">
        <v>11</v>
      </c>
      <c r="C19" s="11" t="s">
        <v>13</v>
      </c>
      <c r="D19" s="11" t="s">
        <v>14</v>
      </c>
      <c r="E19" s="11" t="s">
        <v>15</v>
      </c>
      <c r="F19" s="11" t="s">
        <v>17</v>
      </c>
      <c r="G19" s="11" t="s">
        <v>18</v>
      </c>
      <c r="H19" s="11" t="s">
        <v>19</v>
      </c>
      <c r="I19" s="11" t="s">
        <v>21</v>
      </c>
      <c r="J19" s="11" t="s">
        <v>22</v>
      </c>
      <c r="K19" s="11" t="s">
        <v>23</v>
      </c>
      <c r="L19" s="11" t="s">
        <v>24</v>
      </c>
      <c r="M19" s="11" t="s">
        <v>25</v>
      </c>
      <c r="N19" s="11" t="s">
        <v>26</v>
      </c>
      <c r="O19" s="11" t="s">
        <v>27</v>
      </c>
      <c r="P19" s="11" t="s">
        <v>28</v>
      </c>
      <c r="Q19" s="11" t="s">
        <v>29</v>
      </c>
      <c r="R19" s="11" t="s">
        <v>30</v>
      </c>
      <c r="S19" s="11" t="s">
        <v>31</v>
      </c>
      <c r="T19" s="13" t="s">
        <v>32</v>
      </c>
      <c r="U19" s="13" t="s">
        <v>34</v>
      </c>
      <c r="V19" s="13" t="s">
        <v>35</v>
      </c>
      <c r="W19" s="13" t="s">
        <v>37</v>
      </c>
      <c r="X19" s="13" t="s">
        <v>38</v>
      </c>
      <c r="Y19" s="13" t="s">
        <v>40</v>
      </c>
      <c r="Z19" s="13" t="s">
        <v>41</v>
      </c>
    </row>
    <row r="20" ht="15.75" customHeight="1">
      <c r="A20" s="15" t="s">
        <v>99</v>
      </c>
      <c r="B20" s="16">
        <v>351.0</v>
      </c>
      <c r="C20" s="16">
        <v>386.0</v>
      </c>
      <c r="D20" s="16">
        <v>421.0</v>
      </c>
      <c r="E20" s="16">
        <v>456.0</v>
      </c>
      <c r="F20" s="16">
        <v>491.0</v>
      </c>
      <c r="G20" s="16">
        <v>526.0</v>
      </c>
      <c r="H20" s="16">
        <v>581.0</v>
      </c>
      <c r="I20" s="16">
        <v>636.0</v>
      </c>
      <c r="J20" s="16">
        <v>691.0</v>
      </c>
      <c r="K20" s="16">
        <v>746.0</v>
      </c>
      <c r="L20" s="16">
        <v>801.0</v>
      </c>
      <c r="M20" s="16">
        <v>856.0</v>
      </c>
      <c r="N20" s="16">
        <v>911.0</v>
      </c>
      <c r="O20" s="16">
        <v>966.0</v>
      </c>
      <c r="P20" s="16">
        <v>1021.0</v>
      </c>
      <c r="Q20" s="16">
        <v>1076.0</v>
      </c>
      <c r="R20" s="16">
        <v>1131.0</v>
      </c>
      <c r="S20" s="16">
        <v>1181.0</v>
      </c>
      <c r="T20" s="18">
        <v>1425.0</v>
      </c>
      <c r="U20" s="18">
        <v>1625.0</v>
      </c>
      <c r="V20" s="18">
        <v>1825.0</v>
      </c>
      <c r="W20" s="18">
        <v>2025.0</v>
      </c>
      <c r="X20" s="18">
        <v>2225.0</v>
      </c>
      <c r="Y20" s="18">
        <v>2425.0</v>
      </c>
      <c r="Z20" s="18">
        <v>2625.0</v>
      </c>
    </row>
    <row r="21" ht="12.75" customHeight="1">
      <c r="A21" s="19" t="s">
        <v>54</v>
      </c>
      <c r="B21" s="21">
        <f t="shared" ref="B21:Z21" si="3">IF(B19&gt;0,B20/B19,"")</f>
        <v>0.468</v>
      </c>
      <c r="C21" s="21">
        <f t="shared" si="3"/>
        <v>0.386</v>
      </c>
      <c r="D21" s="21">
        <f t="shared" si="3"/>
        <v>0.3368</v>
      </c>
      <c r="E21" s="21">
        <f t="shared" si="3"/>
        <v>0.304</v>
      </c>
      <c r="F21" s="21">
        <f t="shared" si="3"/>
        <v>0.2727777778</v>
      </c>
      <c r="G21" s="21">
        <f t="shared" si="3"/>
        <v>0.2504761905</v>
      </c>
      <c r="H21" s="21">
        <f t="shared" si="3"/>
        <v>0.2420833333</v>
      </c>
      <c r="I21" s="21">
        <f t="shared" si="3"/>
        <v>0.2355555556</v>
      </c>
      <c r="J21" s="21">
        <f t="shared" si="3"/>
        <v>0.2303333333</v>
      </c>
      <c r="K21" s="21">
        <f t="shared" si="3"/>
        <v>0.2260606061</v>
      </c>
      <c r="L21" s="21">
        <f t="shared" si="3"/>
        <v>0.2225</v>
      </c>
      <c r="M21" s="21">
        <f t="shared" si="3"/>
        <v>0.214</v>
      </c>
      <c r="N21" s="21">
        <f t="shared" si="3"/>
        <v>0.2070454545</v>
      </c>
      <c r="O21" s="21">
        <f t="shared" si="3"/>
        <v>0.2055319149</v>
      </c>
      <c r="P21" s="21">
        <f t="shared" si="3"/>
        <v>0.1963461538</v>
      </c>
      <c r="Q21" s="21">
        <f t="shared" si="3"/>
        <v>0.1921428571</v>
      </c>
      <c r="R21" s="21">
        <f t="shared" si="3"/>
        <v>0.1885</v>
      </c>
      <c r="S21" s="21">
        <f t="shared" si="3"/>
        <v>0.1816923077</v>
      </c>
      <c r="T21" s="24">
        <f t="shared" si="3"/>
        <v>0.2035714286</v>
      </c>
      <c r="U21" s="24">
        <f t="shared" si="3"/>
        <v>0.2166666667</v>
      </c>
      <c r="V21" s="24">
        <f t="shared" si="3"/>
        <v>0.228125</v>
      </c>
      <c r="W21" s="24">
        <f t="shared" si="3"/>
        <v>0.2382352941</v>
      </c>
      <c r="X21" s="24">
        <f t="shared" si="3"/>
        <v>0.2472222222</v>
      </c>
      <c r="Y21" s="24">
        <f t="shared" si="3"/>
        <v>0.2552631579</v>
      </c>
      <c r="Z21" s="24">
        <f t="shared" si="3"/>
        <v>0.2625</v>
      </c>
    </row>
    <row r="22" ht="15.75" customHeight="1">
      <c r="A22" s="28" t="s">
        <v>67</v>
      </c>
      <c r="B22" s="30">
        <f>ROUND(B19/1000*Assumptions!$B$34,1)</f>
        <v>2</v>
      </c>
      <c r="C22" s="30">
        <f>ROUND(C19/1000*Assumptions!$B$34,1)</f>
        <v>2.6</v>
      </c>
      <c r="D22" s="30">
        <f>ROUND(D19/1000*Assumptions!$B$34,1)</f>
        <v>3.3</v>
      </c>
      <c r="E22" s="30">
        <f>ROUND(E19/1000*Assumptions!$B$34,1)</f>
        <v>3.9</v>
      </c>
      <c r="F22" s="30">
        <f>ROUND(F19/1000*Assumptions!$B$34,1)</f>
        <v>4.7</v>
      </c>
      <c r="G22" s="30">
        <f>ROUND(G19/1000*Assumptions!$B$34,1)</f>
        <v>5.5</v>
      </c>
      <c r="H22" s="30">
        <f>ROUND(H19/1000*Assumptions!$B$34,1)</f>
        <v>6.3</v>
      </c>
      <c r="I22" s="30">
        <f>ROUND(I19/1000*Assumptions!$B$34,1)</f>
        <v>7.1</v>
      </c>
      <c r="J22" s="30">
        <f>ROUND(J19/1000*Assumptions!$B$34,1)</f>
        <v>7.9</v>
      </c>
      <c r="K22" s="30">
        <f>ROUND(K19/1000*Assumptions!$B$34,1)</f>
        <v>8.7</v>
      </c>
      <c r="L22" s="30">
        <f>ROUND(L19/1000*Assumptions!$B$34,1)</f>
        <v>9.5</v>
      </c>
      <c r="M22" s="30">
        <f>ROUND(M19/1000*Assumptions!$B$34,1)</f>
        <v>10.5</v>
      </c>
      <c r="N22" s="30">
        <f>ROUND(N19/1000*Assumptions!$B$34,1)</f>
        <v>11.6</v>
      </c>
      <c r="O22" s="30">
        <f>ROUND(O19/1000*Assumptions!$B$34,1)</f>
        <v>12.3</v>
      </c>
      <c r="P22" s="30">
        <f>ROUND(P19/1000*Assumptions!$B$34,1)</f>
        <v>13.7</v>
      </c>
      <c r="Q22" s="30">
        <f>ROUND(Q19/1000*Assumptions!$B$34,1)</f>
        <v>14.7</v>
      </c>
      <c r="R22" s="30">
        <f>ROUND(R19/1000*Assumptions!$B$34,1)</f>
        <v>15.8</v>
      </c>
      <c r="S22" s="30">
        <f>ROUND(S19/1000*Assumptions!$B$34,1)</f>
        <v>17.1</v>
      </c>
      <c r="T22" s="31">
        <f>ROUND(T19/1000*Assumptions!$B$34,1)</f>
        <v>18.4</v>
      </c>
      <c r="U22" s="31">
        <f>ROUND(U19/1000*Assumptions!$B$34,1)</f>
        <v>19.7</v>
      </c>
      <c r="V22" s="31">
        <f>ROUND(V19/1000*Assumptions!$B$34,1)</f>
        <v>21</v>
      </c>
      <c r="W22" s="31">
        <f>ROUND(W19/1000*Assumptions!$B$34,1)</f>
        <v>22.3</v>
      </c>
      <c r="X22" s="31">
        <f>ROUND(X19/1000*Assumptions!$B$34,1)</f>
        <v>23.6</v>
      </c>
      <c r="Y22" s="31">
        <f>ROUND(Y19/1000*Assumptions!$B$34,1)</f>
        <v>24.9</v>
      </c>
      <c r="Z22" s="31">
        <f>ROUND(Z19/1000*Assumptions!$B$34,1)</f>
        <v>26.3</v>
      </c>
    </row>
    <row r="23" ht="7.5" customHeight="1"/>
    <row r="24" ht="21.75" customHeight="1">
      <c r="A24" s="4" t="s">
        <v>100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ht="25.5" customHeight="1">
      <c r="A25" s="39" t="s">
        <v>101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ht="18.0" customHeight="1">
      <c r="A26" s="9" t="s">
        <v>9</v>
      </c>
      <c r="B26" s="11" t="s">
        <v>11</v>
      </c>
      <c r="C26" s="11" t="s">
        <v>13</v>
      </c>
      <c r="D26" s="11" t="s">
        <v>14</v>
      </c>
      <c r="E26" s="11" t="s">
        <v>15</v>
      </c>
      <c r="F26" s="11" t="s">
        <v>17</v>
      </c>
      <c r="G26" s="11" t="s">
        <v>18</v>
      </c>
      <c r="H26" s="11" t="s">
        <v>19</v>
      </c>
      <c r="I26" s="11" t="s">
        <v>21</v>
      </c>
      <c r="J26" s="11" t="s">
        <v>22</v>
      </c>
      <c r="K26" s="11" t="s">
        <v>23</v>
      </c>
      <c r="L26" s="11" t="s">
        <v>24</v>
      </c>
      <c r="M26" s="11" t="s">
        <v>25</v>
      </c>
      <c r="N26" s="11" t="s">
        <v>26</v>
      </c>
      <c r="O26" s="11" t="s">
        <v>27</v>
      </c>
      <c r="P26" s="11" t="s">
        <v>28</v>
      </c>
      <c r="Q26" s="11" t="s">
        <v>29</v>
      </c>
      <c r="R26" s="11" t="s">
        <v>30</v>
      </c>
      <c r="S26" s="11" t="s">
        <v>31</v>
      </c>
      <c r="T26" s="13" t="s">
        <v>32</v>
      </c>
      <c r="U26" s="13" t="s">
        <v>34</v>
      </c>
      <c r="V26" s="13" t="s">
        <v>35</v>
      </c>
      <c r="W26" s="13" t="s">
        <v>37</v>
      </c>
      <c r="X26" s="13" t="s">
        <v>38</v>
      </c>
      <c r="Y26" s="13" t="s">
        <v>40</v>
      </c>
      <c r="Z26" s="13" t="s">
        <v>41</v>
      </c>
    </row>
    <row r="27" ht="15.75" customHeight="1">
      <c r="A27" s="15" t="s">
        <v>102</v>
      </c>
      <c r="B27" s="16">
        <v>526.0</v>
      </c>
      <c r="C27" s="16">
        <v>579.0</v>
      </c>
      <c r="D27" s="16">
        <v>631.0</v>
      </c>
      <c r="E27" s="16">
        <v>684.0</v>
      </c>
      <c r="F27" s="16">
        <v>736.0</v>
      </c>
      <c r="G27" s="16">
        <v>789.0</v>
      </c>
      <c r="H27" s="16">
        <v>871.0</v>
      </c>
      <c r="I27" s="16">
        <v>954.0</v>
      </c>
      <c r="J27" s="16">
        <v>1036.0</v>
      </c>
      <c r="K27" s="16">
        <v>1119.0</v>
      </c>
      <c r="L27" s="16">
        <v>1201.0</v>
      </c>
      <c r="M27" s="16">
        <v>1284.0</v>
      </c>
      <c r="N27" s="16">
        <v>1366.0</v>
      </c>
      <c r="O27" s="16">
        <v>1449.0</v>
      </c>
      <c r="P27" s="16">
        <v>1531.0</v>
      </c>
      <c r="Q27" s="16">
        <v>1614.0</v>
      </c>
      <c r="R27" s="16">
        <v>1696.0</v>
      </c>
      <c r="S27" s="16">
        <v>1820.0</v>
      </c>
      <c r="T27" s="18">
        <v>3500.0</v>
      </c>
      <c r="U27" s="18">
        <v>3750.0</v>
      </c>
      <c r="V27" s="18">
        <v>4000.0</v>
      </c>
      <c r="W27" s="18">
        <v>4250.0</v>
      </c>
      <c r="X27" s="18">
        <v>4500.0</v>
      </c>
      <c r="Y27" s="18">
        <v>4750.0</v>
      </c>
      <c r="Z27" s="18">
        <v>5000.0</v>
      </c>
    </row>
    <row r="28" ht="12.75" customHeight="1">
      <c r="A28" s="19" t="s">
        <v>54</v>
      </c>
      <c r="B28" s="21">
        <f t="shared" ref="B28:Z28" si="4">IF(B26&gt;0,B27/B26,"")</f>
        <v>0.7013333333</v>
      </c>
      <c r="C28" s="21">
        <f t="shared" si="4"/>
        <v>0.579</v>
      </c>
      <c r="D28" s="21">
        <f t="shared" si="4"/>
        <v>0.5048</v>
      </c>
      <c r="E28" s="21">
        <f t="shared" si="4"/>
        <v>0.456</v>
      </c>
      <c r="F28" s="21">
        <f t="shared" si="4"/>
        <v>0.4088888889</v>
      </c>
      <c r="G28" s="21">
        <f t="shared" si="4"/>
        <v>0.3757142857</v>
      </c>
      <c r="H28" s="21">
        <f t="shared" si="4"/>
        <v>0.3629166667</v>
      </c>
      <c r="I28" s="21">
        <f t="shared" si="4"/>
        <v>0.3533333333</v>
      </c>
      <c r="J28" s="21">
        <f t="shared" si="4"/>
        <v>0.3453333333</v>
      </c>
      <c r="K28" s="21">
        <f t="shared" si="4"/>
        <v>0.3390909091</v>
      </c>
      <c r="L28" s="21">
        <f t="shared" si="4"/>
        <v>0.3336111111</v>
      </c>
      <c r="M28" s="21">
        <f t="shared" si="4"/>
        <v>0.321</v>
      </c>
      <c r="N28" s="21">
        <f t="shared" si="4"/>
        <v>0.3104545455</v>
      </c>
      <c r="O28" s="21">
        <f t="shared" si="4"/>
        <v>0.3082978723</v>
      </c>
      <c r="P28" s="21">
        <f t="shared" si="4"/>
        <v>0.2944230769</v>
      </c>
      <c r="Q28" s="21">
        <f t="shared" si="4"/>
        <v>0.2882142857</v>
      </c>
      <c r="R28" s="21">
        <f t="shared" si="4"/>
        <v>0.2826666667</v>
      </c>
      <c r="S28" s="21">
        <f t="shared" si="4"/>
        <v>0.28</v>
      </c>
      <c r="T28" s="24">
        <f t="shared" si="4"/>
        <v>0.5</v>
      </c>
      <c r="U28" s="24">
        <f t="shared" si="4"/>
        <v>0.5</v>
      </c>
      <c r="V28" s="24">
        <f t="shared" si="4"/>
        <v>0.5</v>
      </c>
      <c r="W28" s="24">
        <f t="shared" si="4"/>
        <v>0.5</v>
      </c>
      <c r="X28" s="24">
        <f t="shared" si="4"/>
        <v>0.5</v>
      </c>
      <c r="Y28" s="24">
        <f t="shared" si="4"/>
        <v>0.5</v>
      </c>
      <c r="Z28" s="24">
        <f t="shared" si="4"/>
        <v>0.5</v>
      </c>
    </row>
    <row r="29" ht="15.75" customHeight="1">
      <c r="A29" s="28" t="s">
        <v>67</v>
      </c>
      <c r="B29" s="30">
        <f>ROUND(B26/1000*Assumptions!$B$35,1)</f>
        <v>2.3</v>
      </c>
      <c r="C29" s="30">
        <f>ROUND(C26/1000*Assumptions!$B$35,1)</f>
        <v>3.1</v>
      </c>
      <c r="D29" s="30">
        <f>ROUND(D26/1000*Assumptions!$B$35,1)</f>
        <v>3.9</v>
      </c>
      <c r="E29" s="30">
        <f>ROUND(E26/1000*Assumptions!$B$35,1)</f>
        <v>4.7</v>
      </c>
      <c r="F29" s="30">
        <f>ROUND(F26/1000*Assumptions!$B$35,1)</f>
        <v>5.6</v>
      </c>
      <c r="G29" s="30">
        <f>ROUND(G26/1000*Assumptions!$B$35,1)</f>
        <v>6.6</v>
      </c>
      <c r="H29" s="30">
        <f>ROUND(H26/1000*Assumptions!$B$35,1)</f>
        <v>7.5</v>
      </c>
      <c r="I29" s="30">
        <f>ROUND(I26/1000*Assumptions!$B$35,1)</f>
        <v>8.4</v>
      </c>
      <c r="J29" s="30">
        <f>ROUND(J26/1000*Assumptions!$B$35,1)</f>
        <v>9.4</v>
      </c>
      <c r="K29" s="30">
        <f>ROUND(K26/1000*Assumptions!$B$35,1)</f>
        <v>10.3</v>
      </c>
      <c r="L29" s="30">
        <f>ROUND(L26/1000*Assumptions!$B$35,1)</f>
        <v>11.3</v>
      </c>
      <c r="M29" s="30">
        <f>ROUND(M26/1000*Assumptions!$B$35,1)</f>
        <v>12.5</v>
      </c>
      <c r="N29" s="30">
        <f>ROUND(N26/1000*Assumptions!$B$35,1)</f>
        <v>13.8</v>
      </c>
      <c r="O29" s="30">
        <f>ROUND(O26/1000*Assumptions!$B$35,1)</f>
        <v>14.7</v>
      </c>
      <c r="P29" s="30">
        <f>ROUND(P26/1000*Assumptions!$B$35,1)</f>
        <v>16.3</v>
      </c>
      <c r="Q29" s="30">
        <f>ROUND(Q26/1000*Assumptions!$B$35,1)</f>
        <v>17.5</v>
      </c>
      <c r="R29" s="30">
        <f>ROUND(R26/1000*Assumptions!$B$35,1)</f>
        <v>18.8</v>
      </c>
      <c r="S29" s="30">
        <f>ROUND(S26/1000*Assumptions!$B$35,1)</f>
        <v>20.3</v>
      </c>
      <c r="T29" s="31">
        <f>ROUND(T26/1000*Assumptions!$B$35,1)</f>
        <v>21.9</v>
      </c>
      <c r="U29" s="31">
        <f>ROUND(U26/1000*Assumptions!$B$35,1)</f>
        <v>23.4</v>
      </c>
      <c r="V29" s="31">
        <f>ROUND(V26/1000*Assumptions!$B$35,1)</f>
        <v>25</v>
      </c>
      <c r="W29" s="31">
        <f>ROUND(W26/1000*Assumptions!$B$35,1)</f>
        <v>26.6</v>
      </c>
      <c r="X29" s="31">
        <f>ROUND(X26/1000*Assumptions!$B$35,1)</f>
        <v>28.1</v>
      </c>
      <c r="Y29" s="31">
        <f>ROUND(Y26/1000*Assumptions!$B$35,1)</f>
        <v>29.7</v>
      </c>
      <c r="Z29" s="31">
        <f>ROUND(Z26/1000*Assumptions!$B$35,1)</f>
        <v>31.3</v>
      </c>
    </row>
    <row r="30" ht="7.5" customHeight="1"/>
    <row r="31" ht="21.75" customHeight="1">
      <c r="A31" s="12" t="s">
        <v>103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ht="21.75" customHeight="1">
      <c r="A32" s="40" t="s">
        <v>104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ht="18.0" customHeight="1">
      <c r="A33" s="41" t="s">
        <v>105</v>
      </c>
      <c r="B33" s="41" t="s">
        <v>106</v>
      </c>
      <c r="C33" s="41" t="s">
        <v>107</v>
      </c>
      <c r="D33" s="41" t="s">
        <v>108</v>
      </c>
    </row>
    <row r="34" ht="15.75" customHeight="1">
      <c r="A34" s="42" t="s">
        <v>109</v>
      </c>
      <c r="B34" s="43">
        <f>(Assumptions!$B$17+Assumptions!$B$28)/(1-Assumptions!$B$10-Assumptions!$B$13)</f>
        <v>340.9090909</v>
      </c>
      <c r="C34" s="43">
        <f>(Assumptions!$B$17+Assumptions!$B$28)/(1-Assumptions!$B$12-Assumptions!$B$13)</f>
        <v>441.1764706</v>
      </c>
      <c r="D34" s="43">
        <f>(Assumptions!$B$17+Assumptions!$B$28)/(1-Assumptions!$B$11-Assumptions!$B$13)</f>
        <v>625</v>
      </c>
      <c r="E34" s="44" t="s">
        <v>110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6"/>
    </row>
    <row r="35" ht="15.75" customHeight="1">
      <c r="A35" s="42" t="s">
        <v>111</v>
      </c>
      <c r="B35" s="43">
        <f>(Assumptions!$B$18+Assumptions!$B$28)/(1-Assumptions!$B$10-Assumptions!$B$13)</f>
        <v>354.5454545</v>
      </c>
      <c r="C35" s="43">
        <f>(Assumptions!$B$18+Assumptions!$B$28)/(1-Assumptions!$B$12-Assumptions!$B$13)</f>
        <v>458.8235294</v>
      </c>
      <c r="D35" s="43">
        <f>(Assumptions!$B$18+Assumptions!$B$28)/(1-Assumptions!$B$11-Assumptions!$B$13)</f>
        <v>650</v>
      </c>
      <c r="E35" s="47"/>
      <c r="P35" s="48"/>
    </row>
    <row r="36" ht="15.75" customHeight="1">
      <c r="A36" s="42" t="s">
        <v>112</v>
      </c>
      <c r="B36" s="43">
        <f>(Assumptions!$B$19+Assumptions!$B$28)/(1-Assumptions!$B$10-Assumptions!$B$13)</f>
        <v>363.6363636</v>
      </c>
      <c r="C36" s="43">
        <f>(Assumptions!$B$19+Assumptions!$B$28)/(1-Assumptions!$B$12-Assumptions!$B$13)</f>
        <v>470.5882353</v>
      </c>
      <c r="D36" s="43">
        <f>(Assumptions!$B$19+Assumptions!$B$28)/(1-Assumptions!$B$11-Assumptions!$B$13)</f>
        <v>666.6666667</v>
      </c>
      <c r="E36" s="47"/>
      <c r="P36" s="48"/>
    </row>
    <row r="37" ht="15.75" customHeight="1">
      <c r="A37" s="42" t="s">
        <v>113</v>
      </c>
      <c r="B37" s="43">
        <f>(Assumptions!$B$20+Assumptions!$B$28)/(1-Assumptions!$B$10-Assumptions!$B$13)</f>
        <v>372.7272727</v>
      </c>
      <c r="C37" s="43">
        <f>(Assumptions!$B$20+Assumptions!$B$28)/(1-Assumptions!$B$12-Assumptions!$B$13)</f>
        <v>482.3529412</v>
      </c>
      <c r="D37" s="43">
        <f>(Assumptions!$B$20+Assumptions!$B$28)/(1-Assumptions!$B$11-Assumptions!$B$13)</f>
        <v>683.3333333</v>
      </c>
      <c r="E37" s="47"/>
      <c r="P37" s="48"/>
    </row>
    <row r="38" ht="15.75" customHeight="1">
      <c r="A38" s="42" t="s">
        <v>114</v>
      </c>
      <c r="B38" s="43">
        <f>(Assumptions!$B$21+Assumptions!$B$28)/(1-Assumptions!$B$10-Assumptions!$B$13)</f>
        <v>386.3636364</v>
      </c>
      <c r="C38" s="43">
        <f>(Assumptions!$B$21+Assumptions!$B$28)/(1-Assumptions!$B$12-Assumptions!$B$13)</f>
        <v>500</v>
      </c>
      <c r="D38" s="43">
        <f>(Assumptions!$B$21+Assumptions!$B$28)/(1-Assumptions!$B$11-Assumptions!$B$13)</f>
        <v>708.3333333</v>
      </c>
      <c r="E38" s="49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</row>
    <row r="39" ht="7.5" customHeight="1"/>
    <row r="40" ht="21.75" customHeight="1">
      <c r="A40" s="52" t="s">
        <v>115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ht="21.75" customHeight="1">
      <c r="A41" s="53" t="s">
        <v>116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ht="18.0" customHeight="1">
      <c r="A42" s="9" t="s">
        <v>9</v>
      </c>
      <c r="B42" s="11" t="s">
        <v>11</v>
      </c>
      <c r="C42" s="11" t="s">
        <v>13</v>
      </c>
      <c r="D42" s="11" t="s">
        <v>14</v>
      </c>
      <c r="E42" s="11" t="s">
        <v>15</v>
      </c>
      <c r="F42" s="11" t="s">
        <v>17</v>
      </c>
      <c r="G42" s="11" t="s">
        <v>18</v>
      </c>
      <c r="H42" s="11" t="s">
        <v>19</v>
      </c>
      <c r="I42" s="11" t="s">
        <v>21</v>
      </c>
      <c r="J42" s="11" t="s">
        <v>22</v>
      </c>
      <c r="K42" s="11" t="s">
        <v>23</v>
      </c>
      <c r="L42" s="11" t="s">
        <v>24</v>
      </c>
      <c r="M42" s="11" t="s">
        <v>25</v>
      </c>
      <c r="N42" s="11" t="s">
        <v>26</v>
      </c>
      <c r="O42" s="11" t="s">
        <v>27</v>
      </c>
      <c r="P42" s="11" t="s">
        <v>28</v>
      </c>
      <c r="Q42" s="11" t="s">
        <v>29</v>
      </c>
      <c r="R42" s="11" t="s">
        <v>30</v>
      </c>
      <c r="S42" s="11" t="s">
        <v>31</v>
      </c>
      <c r="T42" s="13" t="s">
        <v>32</v>
      </c>
      <c r="U42" s="13" t="s">
        <v>34</v>
      </c>
      <c r="V42" s="13" t="s">
        <v>35</v>
      </c>
      <c r="W42" s="13" t="s">
        <v>37</v>
      </c>
      <c r="X42" s="13" t="s">
        <v>38</v>
      </c>
      <c r="Y42" s="13" t="s">
        <v>40</v>
      </c>
      <c r="Z42" s="13" t="s">
        <v>41</v>
      </c>
    </row>
    <row r="43" ht="15.75" customHeight="1">
      <c r="A43" s="54" t="s">
        <v>117</v>
      </c>
      <c r="B43" s="55">
        <f>IFERROR(1-Assumptions!$B$12-(Assumptions!$B$22+Assumptions!$B$28)/B5,"")</f>
        <v>0.2601449275</v>
      </c>
      <c r="C43" s="55">
        <f>IFERROR(1-Assumptions!$B$12-(Assumptions!$B$22+Assumptions!$B$28)/C5,"")</f>
        <v>0.2927652733</v>
      </c>
      <c r="D43" s="55">
        <f>IFERROR(1-Assumptions!$B$12-(Assumptions!$B$22+Assumptions!$B$28)/D5,"")</f>
        <v>0.3187861272</v>
      </c>
      <c r="E43" s="55">
        <f>IFERROR(1-Assumptions!$B$12-(Assumptions!$B$22+Assumptions!$B$28)/E5,"")</f>
        <v>0.3400262467</v>
      </c>
      <c r="F43" s="55">
        <f>IFERROR(1-Assumptions!$B$12-(Assumptions!$B$22+Assumptions!$B$28)/F5,"")</f>
        <v>0.3576923077</v>
      </c>
      <c r="G43" s="55">
        <f>IFERROR(1-Assumptions!$B$12-(Assumptions!$B$22+Assumptions!$B$28)/G5,"")</f>
        <v>0.372616408</v>
      </c>
      <c r="H43" s="55">
        <f>IFERROR(1-Assumptions!$B$12-(Assumptions!$B$22+Assumptions!$B$28)/H5,"")</f>
        <v>0.3918972332</v>
      </c>
      <c r="I43" s="55">
        <f>IFERROR(1-Assumptions!$B$12-(Assumptions!$B$22+Assumptions!$B$28)/I5,"")</f>
        <v>0.4073975045</v>
      </c>
      <c r="J43" s="55">
        <f>IFERROR(1-Assumptions!$B$12-(Assumptions!$B$22+Assumptions!$B$28)/J5,"")</f>
        <v>0.4201298701</v>
      </c>
      <c r="K43" s="55">
        <f>IFERROR(1-Assumptions!$B$12-(Assumptions!$B$22+Assumptions!$B$28)/K5,"")</f>
        <v>0.4307749627</v>
      </c>
      <c r="L43" s="55">
        <f>IFERROR(1-Assumptions!$B$12-(Assumptions!$B$22+Assumptions!$B$28)/L5,"")</f>
        <v>0.4398071625</v>
      </c>
      <c r="M43" s="55">
        <f>IFERROR(1-Assumptions!$B$12-(Assumptions!$B$22+Assumptions!$B$28)/M5,"")</f>
        <v>0.4475672215</v>
      </c>
      <c r="N43" s="55">
        <f>IFERROR(1-Assumptions!$B$12-(Assumptions!$B$22+Assumptions!$B$28)/N5,"")</f>
        <v>0.4543062201</v>
      </c>
      <c r="O43" s="55">
        <f>IFERROR(1-Assumptions!$B$12-(Assumptions!$B$22+Assumptions!$B$28)/O5,"")</f>
        <v>0.4602132435</v>
      </c>
      <c r="P43" s="55">
        <f>IFERROR(1-Assumptions!$B$12-(Assumptions!$B$22+Assumptions!$B$28)/P5,"")</f>
        <v>0.4654334038</v>
      </c>
      <c r="Q43" s="55">
        <f>IFERROR(1-Assumptions!$B$12-(Assumptions!$B$22+Assumptions!$B$28)/Q5,"")</f>
        <v>0.4700799201</v>
      </c>
      <c r="R43" s="55">
        <f>IFERROR(1-Assumptions!$B$12-(Assumptions!$B$22+Assumptions!$B$28)/R5,"")</f>
        <v>0.4742424242</v>
      </c>
      <c r="S43" s="55">
        <f>IFERROR(1-Assumptions!$B$12-(Assumptions!$B$22+Assumptions!$B$28)/S5,"")</f>
        <v>0.4816239316</v>
      </c>
      <c r="T43" s="56">
        <f>IFERROR(1-Assumptions!$B$12-(Assumptions!$B$22+Assumptions!$B$28)/T5,"")</f>
        <v>0.4907407407</v>
      </c>
      <c r="U43" s="56">
        <f>IFERROR(1-Assumptions!$B$12-(Assumptions!$B$22+Assumptions!$B$28)/U5,"")</f>
        <v>0.4983870968</v>
      </c>
      <c r="V43" s="56">
        <f>IFERROR(1-Assumptions!$B$12-(Assumptions!$B$22+Assumptions!$B$28)/V5,"")</f>
        <v>0.5042857143</v>
      </c>
      <c r="W43" s="56">
        <f>IFERROR(1-Assumptions!$B$12-(Assumptions!$B$22+Assumptions!$B$28)/W5,"")</f>
        <v>0.508974359</v>
      </c>
      <c r="X43" s="56">
        <f>IFERROR(1-Assumptions!$B$12-(Assumptions!$B$22+Assumptions!$B$28)/X5,"")</f>
        <v>0.5127906977</v>
      </c>
      <c r="Y43" s="56">
        <f>IFERROR(1-Assumptions!$B$12-(Assumptions!$B$22+Assumptions!$B$28)/Y5,"")</f>
        <v>0.5159574468</v>
      </c>
      <c r="Z43" s="56">
        <f>IFERROR(1-Assumptions!$B$12-(Assumptions!$B$22+Assumptions!$B$28)/Z5,"")</f>
        <v>0.518627451</v>
      </c>
    </row>
    <row r="44" ht="15.75" customHeight="1">
      <c r="A44" s="54" t="s">
        <v>118</v>
      </c>
      <c r="B44" s="55">
        <f>IFERROR(1-Assumptions!$B$12-(Assumptions!$B$22+Assumptions!$B$28)/B11,"")</f>
        <v>-39.45</v>
      </c>
      <c r="C44" s="55">
        <f>IFERROR(1-Assumptions!$B$12-(Assumptions!$B$22+Assumptions!$B$28)/C11,"")</f>
        <v>0.1708530806</v>
      </c>
      <c r="D44" s="55">
        <f>IFERROR(1-Assumptions!$B$12-(Assumptions!$B$22+Assumptions!$B$28)/D11,"")</f>
        <v>0.224796748</v>
      </c>
      <c r="E44" s="55">
        <f>IFERROR(1-Assumptions!$B$12-(Assumptions!$B$22+Assumptions!$B$28)/E11,"")</f>
        <v>0.2653024911</v>
      </c>
      <c r="F44" s="55">
        <f>IFERROR(1-Assumptions!$B$12-(Assumptions!$B$22+Assumptions!$B$28)/F11,"")</f>
        <v>0.296835443</v>
      </c>
      <c r="G44" s="55">
        <f>IFERROR(1-Assumptions!$B$12-(Assumptions!$B$22+Assumptions!$B$28)/G11,"")</f>
        <v>0.3220797721</v>
      </c>
      <c r="H44" s="55">
        <f>IFERROR(1-Assumptions!$B$12-(Assumptions!$B$22+Assumptions!$B$28)/H11,"")</f>
        <v>0.3400262467</v>
      </c>
      <c r="I44" s="55">
        <f>IFERROR(1-Assumptions!$B$12-(Assumptions!$B$22+Assumptions!$B$28)/I11,"")</f>
        <v>0.3665137615</v>
      </c>
      <c r="J44" s="55">
        <f>IFERROR(1-Assumptions!$B$12-(Assumptions!$B$22+Assumptions!$B$28)/J11,"")</f>
        <v>0.3870672098</v>
      </c>
      <c r="K44" s="55">
        <f>IFERROR(1-Assumptions!$B$12-(Assumptions!$B$22+Assumptions!$B$28)/K11,"")</f>
        <v>0.4034798535</v>
      </c>
      <c r="L44" s="55">
        <f>IFERROR(1-Assumptions!$B$12-(Assumptions!$B$22+Assumptions!$B$28)/L11,"")</f>
        <v>0.4168885191</v>
      </c>
      <c r="M44" s="55">
        <f>IFERROR(1-Assumptions!$B$12-(Assumptions!$B$22+Assumptions!$B$28)/M11,"")</f>
        <v>0.4280487805</v>
      </c>
      <c r="N44" s="55">
        <f>IFERROR(1-Assumptions!$B$12-(Assumptions!$B$22+Assumptions!$B$28)/N11,"")</f>
        <v>0.4374824191</v>
      </c>
      <c r="O44" s="55">
        <f>IFERROR(1-Assumptions!$B$12-(Assumptions!$B$22+Assumptions!$B$28)/O11,"")</f>
        <v>0.4455613577</v>
      </c>
      <c r="P44" s="55">
        <f>IFERROR(1-Assumptions!$B$12-(Assumptions!$B$22+Assumptions!$B$28)/P11,"")</f>
        <v>0.4525578563</v>
      </c>
      <c r="Q44" s="55">
        <f>IFERROR(1-Assumptions!$B$12-(Assumptions!$B$22+Assumptions!$B$28)/Q11,"")</f>
        <v>0.4586757991</v>
      </c>
      <c r="R44" s="55">
        <f>IFERROR(1-Assumptions!$B$12-(Assumptions!$B$22+Assumptions!$B$28)/R11,"")</f>
        <v>0.4640708915</v>
      </c>
      <c r="S44" s="55">
        <f>IFERROR(1-Assumptions!$B$12-(Assumptions!$B$22+Assumptions!$B$28)/S11,"")</f>
        <v>0.4734449761</v>
      </c>
      <c r="T44" s="56">
        <f>IFERROR(1-Assumptions!$B$12-(Assumptions!$B$22+Assumptions!$B$28)/T11,"")</f>
        <v>0.4833333333</v>
      </c>
      <c r="U44" s="56">
        <f>IFERROR(1-Assumptions!$B$12-(Assumptions!$B$22+Assumptions!$B$28)/U11,"")</f>
        <v>0.4918181818</v>
      </c>
      <c r="V44" s="56">
        <f>IFERROR(1-Assumptions!$B$12-(Assumptions!$B$22+Assumptions!$B$28)/V11,"")</f>
        <v>0.4983870968</v>
      </c>
      <c r="W44" s="56">
        <f>IFERROR(1-Assumptions!$B$12-(Assumptions!$B$22+Assumptions!$B$28)/W11,"")</f>
        <v>0.5036231884</v>
      </c>
      <c r="X44" s="56">
        <f>IFERROR(1-Assumptions!$B$12-(Assumptions!$B$22+Assumptions!$B$28)/X11,"")</f>
        <v>0.5078947368</v>
      </c>
      <c r="Y44" s="56">
        <f>IFERROR(1-Assumptions!$B$12-(Assumptions!$B$22+Assumptions!$B$28)/Y11,"")</f>
        <v>0.5114457831</v>
      </c>
      <c r="Z44" s="56">
        <f>IFERROR(1-Assumptions!$B$12-(Assumptions!$B$22+Assumptions!$B$28)/Z11,"")</f>
        <v>0.5144444444</v>
      </c>
    </row>
    <row r="45" ht="15.75" customHeight="1">
      <c r="A45" s="54" t="s">
        <v>119</v>
      </c>
      <c r="B45" s="55">
        <f>IFERROR(1-Assumptions!$B$12-(Assumptions!$B$22+Assumptions!$B$28)/B14,"")</f>
        <v>-0.1004065041</v>
      </c>
      <c r="C45" s="55">
        <f>IFERROR(1-Assumptions!$B$12-(Assumptions!$B$22+Assumptions!$B$28)/C14,"")</f>
        <v>0.005782312925</v>
      </c>
      <c r="D45" s="55">
        <f>IFERROR(1-Assumptions!$B$12-(Assumptions!$B$22+Assumptions!$B$28)/D14,"")</f>
        <v>0.08488372093</v>
      </c>
      <c r="E45" s="55">
        <f>IFERROR(1-Assumptions!$B$12-(Assumptions!$B$22+Assumptions!$B$28)/E14,"")</f>
        <v>0.1418367347</v>
      </c>
      <c r="F45" s="55">
        <f>IFERROR(1-Assumptions!$B$12-(Assumptions!$B$22+Assumptions!$B$28)/F14,"")</f>
        <v>0.1880090498</v>
      </c>
      <c r="G45" s="55">
        <f>IFERROR(1-Assumptions!$B$12-(Assumptions!$B$22+Assumptions!$B$28)/G14,"")</f>
        <v>0.2234693878</v>
      </c>
      <c r="H45" s="55">
        <f>IFERROR(1-Assumptions!$B$12-(Assumptions!$B$22+Assumptions!$B$28)/H14,"")</f>
        <v>0.2492481203</v>
      </c>
      <c r="I45" s="55">
        <f>IFERROR(1-Assumptions!$B$12-(Assumptions!$B$22+Assumptions!$B$28)/I14,"")</f>
        <v>0.287704918</v>
      </c>
      <c r="J45" s="55">
        <f>IFERROR(1-Assumptions!$B$12-(Assumptions!$B$22+Assumptions!$B$28)/J14,"")</f>
        <v>0.3167638484</v>
      </c>
      <c r="K45" s="55">
        <f>IFERROR(1-Assumptions!$B$12-(Assumptions!$B$22+Assumptions!$B$28)/K14,"")</f>
        <v>0.3405759162</v>
      </c>
      <c r="L45" s="55">
        <f>IFERROR(1-Assumptions!$B$12-(Assumptions!$B$22+Assumptions!$B$28)/L14,"")</f>
        <v>0.3595238095</v>
      </c>
      <c r="M45" s="55">
        <f>IFERROR(1-Assumptions!$B$12-(Assumptions!$B$22+Assumptions!$B$28)/M14,"")</f>
        <v>0.375708061</v>
      </c>
      <c r="N45" s="55">
        <f>IFERROR(1-Assumptions!$B$12-(Assumptions!$B$22+Assumptions!$B$28)/N14,"")</f>
        <v>0.3890342052</v>
      </c>
      <c r="O45" s="55">
        <f>IFERROR(1-Assumptions!$B$12-(Assumptions!$B$22+Assumptions!$B$28)/O14,"")</f>
        <v>0.4007462687</v>
      </c>
      <c r="P45" s="55">
        <f>IFERROR(1-Assumptions!$B$12-(Assumptions!$B$22+Assumptions!$B$28)/P14,"")</f>
        <v>0.4106271777</v>
      </c>
      <c r="Q45" s="55">
        <f>IFERROR(1-Assumptions!$B$12-(Assumptions!$B$22+Assumptions!$B$28)/Q14,"")</f>
        <v>0.4194942904</v>
      </c>
      <c r="R45" s="55">
        <f>IFERROR(1-Assumptions!$B$12-(Assumptions!$B$22+Assumptions!$B$28)/R14,"")</f>
        <v>0.4271121352</v>
      </c>
      <c r="S45" s="55">
        <f>IFERROR(1-Assumptions!$B$12-(Assumptions!$B$22+Assumptions!$B$28)/S14,"")</f>
        <v>0.4407103825</v>
      </c>
      <c r="T45" s="56">
        <f>IFERROR(1-Assumptions!$B$12-(Assumptions!$B$22+Assumptions!$B$28)/T14,"")</f>
        <v>0.4547619048</v>
      </c>
      <c r="U45" s="56">
        <f>IFERROR(1-Assumptions!$B$12-(Assumptions!$B$22+Assumptions!$B$28)/U14,"")</f>
        <v>0.4666666667</v>
      </c>
      <c r="V45" s="56">
        <f>IFERROR(1-Assumptions!$B$12-(Assumptions!$B$22+Assumptions!$B$28)/V14,"")</f>
        <v>0.4766055046</v>
      </c>
      <c r="W45" s="56">
        <f>IFERROR(1-Assumptions!$B$12-(Assumptions!$B$22+Assumptions!$B$28)/W14,"")</f>
        <v>0.4838842975</v>
      </c>
      <c r="X45" s="56">
        <f>IFERROR(1-Assumptions!$B$12-(Assumptions!$B$22+Assumptions!$B$28)/X14,"")</f>
        <v>0.4898496241</v>
      </c>
      <c r="Y45" s="56">
        <f>IFERROR(1-Assumptions!$B$12-(Assumptions!$B$22+Assumptions!$B$28)/Y14,"")</f>
        <v>0.4948275862</v>
      </c>
      <c r="Z45" s="56">
        <f>IFERROR(1-Assumptions!$B$12-(Assumptions!$B$22+Assumptions!$B$28)/Z14,"")</f>
        <v>0.4993670886</v>
      </c>
    </row>
    <row r="46" ht="15.75" customHeight="1">
      <c r="A46" s="54" t="s">
        <v>120</v>
      </c>
      <c r="B46" s="55">
        <f>IFERROR(1-Assumptions!$B$12-(Assumptions!$B$22+Assumptions!$B$28)/B27,"")</f>
        <v>0.3979087452</v>
      </c>
      <c r="C46" s="55">
        <f>IFERROR(1-Assumptions!$B$12-(Assumptions!$B$22+Assumptions!$B$28)/C27,"")</f>
        <v>0.4118307427</v>
      </c>
      <c r="D46" s="55">
        <f>IFERROR(1-Assumptions!$B$12-(Assumptions!$B$22+Assumptions!$B$28)/D27,"")</f>
        <v>0.4232171157</v>
      </c>
      <c r="E46" s="55">
        <f>IFERROR(1-Assumptions!$B$12-(Assumptions!$B$22+Assumptions!$B$28)/E27,"")</f>
        <v>0.4330409357</v>
      </c>
      <c r="F46" s="55">
        <f>IFERROR(1-Assumptions!$B$12-(Assumptions!$B$22+Assumptions!$B$28)/F27,"")</f>
        <v>0.4413043478</v>
      </c>
      <c r="G46" s="55">
        <f>IFERROR(1-Assumptions!$B$12-(Assumptions!$B$22+Assumptions!$B$28)/G27,"")</f>
        <v>0.4486058302</v>
      </c>
      <c r="H46" s="55">
        <f>IFERROR(1-Assumptions!$B$12-(Assumptions!$B$22+Assumptions!$B$28)/H27,"")</f>
        <v>0.4581515499</v>
      </c>
      <c r="I46" s="55">
        <f>IFERROR(1-Assumptions!$B$12-(Assumptions!$B$22+Assumptions!$B$28)/I27,"")</f>
        <v>0.4661425577</v>
      </c>
      <c r="J46" s="55">
        <f>IFERROR(1-Assumptions!$B$12-(Assumptions!$B$22+Assumptions!$B$28)/J27,"")</f>
        <v>0.4727799228</v>
      </c>
      <c r="K46" s="55">
        <f>IFERROR(1-Assumptions!$B$12-(Assumptions!$B$22+Assumptions!$B$28)/K27,"")</f>
        <v>0.4785075961</v>
      </c>
      <c r="L46" s="55">
        <f>IFERROR(1-Assumptions!$B$12-(Assumptions!$B$22+Assumptions!$B$28)/L27,"")</f>
        <v>0.4833888426</v>
      </c>
      <c r="M46" s="55">
        <f>IFERROR(1-Assumptions!$B$12-(Assumptions!$B$22+Assumptions!$B$28)/M27,"")</f>
        <v>0.487694704</v>
      </c>
      <c r="N46" s="55">
        <f>IFERROR(1-Assumptions!$B$12-(Assumptions!$B$22+Assumptions!$B$28)/N27,"")</f>
        <v>0.4914348463</v>
      </c>
      <c r="O46" s="55">
        <f>IFERROR(1-Assumptions!$B$12-(Assumptions!$B$22+Assumptions!$B$28)/O27,"")</f>
        <v>0.49478951</v>
      </c>
      <c r="P46" s="55">
        <f>IFERROR(1-Assumptions!$B$12-(Assumptions!$B$22+Assumptions!$B$28)/P27,"")</f>
        <v>0.4977465709</v>
      </c>
      <c r="Q46" s="55">
        <f>IFERROR(1-Assumptions!$B$12-(Assumptions!$B$22+Assumptions!$B$28)/Q27,"")</f>
        <v>0.5004337051</v>
      </c>
      <c r="R46" s="55">
        <f>IFERROR(1-Assumptions!$B$12-(Assumptions!$B$22+Assumptions!$B$28)/R27,"")</f>
        <v>0.5028301887</v>
      </c>
      <c r="S46" s="55">
        <f>IFERROR(1-Assumptions!$B$12-(Assumptions!$B$22+Assumptions!$B$28)/S27,"")</f>
        <v>0.506043956</v>
      </c>
      <c r="T46" s="56">
        <f>IFERROR(1-Assumptions!$B$12-(Assumptions!$B$22+Assumptions!$B$28)/T27,"")</f>
        <v>0.5271428571</v>
      </c>
      <c r="U46" s="56">
        <f>IFERROR(1-Assumptions!$B$12-(Assumptions!$B$22+Assumptions!$B$28)/U27,"")</f>
        <v>0.5286666667</v>
      </c>
      <c r="V46" s="56">
        <f>IFERROR(1-Assumptions!$B$12-(Assumptions!$B$22+Assumptions!$B$28)/V27,"")</f>
        <v>0.53</v>
      </c>
      <c r="W46" s="56">
        <f>IFERROR(1-Assumptions!$B$12-(Assumptions!$B$22+Assumptions!$B$28)/W27,"")</f>
        <v>0.5311764706</v>
      </c>
      <c r="X46" s="56">
        <f>IFERROR(1-Assumptions!$B$12-(Assumptions!$B$22+Assumptions!$B$28)/X27,"")</f>
        <v>0.5322222222</v>
      </c>
      <c r="Y46" s="56">
        <f>IFERROR(1-Assumptions!$B$12-(Assumptions!$B$22+Assumptions!$B$28)/Y27,"")</f>
        <v>0.5331578947</v>
      </c>
      <c r="Z46" s="56">
        <f>IFERROR(1-Assumptions!$B$12-(Assumptions!$B$22+Assumptions!$B$28)/Z27,"")</f>
        <v>0.534</v>
      </c>
    </row>
    <row r="47" ht="7.5" customHeight="1"/>
    <row r="48" ht="21.75" customHeight="1">
      <c r="A48" s="4" t="s">
        <v>86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ht="15.0" customHeight="1">
      <c r="A49" s="7" t="s">
        <v>121</v>
      </c>
      <c r="B49" s="16">
        <v>200.0</v>
      </c>
      <c r="C49" s="57" t="s">
        <v>122</v>
      </c>
    </row>
    <row r="50" ht="15.0" customHeight="1">
      <c r="A50" s="7" t="s">
        <v>123</v>
      </c>
      <c r="B50" s="16">
        <v>200.0</v>
      </c>
    </row>
    <row r="51" ht="15.0" customHeight="1">
      <c r="A51" s="7" t="s">
        <v>124</v>
      </c>
      <c r="B51" s="16">
        <v>150.0</v>
      </c>
    </row>
    <row r="52" ht="15.0" customHeight="1">
      <c r="A52" s="7" t="s">
        <v>125</v>
      </c>
      <c r="B52" s="16">
        <v>350.0</v>
      </c>
      <c r="C52" s="57" t="s">
        <v>122</v>
      </c>
    </row>
    <row r="53" ht="15.0" customHeight="1">
      <c r="A53" s="7" t="s">
        <v>126</v>
      </c>
      <c r="B53" s="16">
        <v>450.0</v>
      </c>
    </row>
    <row r="54" ht="7.5" customHeight="1"/>
    <row r="55" ht="21.75" customHeight="1">
      <c r="A55" s="4" t="s">
        <v>127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ht="15.0" customHeight="1">
      <c r="A56" s="7" t="s">
        <v>128</v>
      </c>
      <c r="B56" s="16">
        <v>50.0</v>
      </c>
      <c r="C56" s="57" t="s">
        <v>129</v>
      </c>
    </row>
    <row r="57" ht="15.0" customHeight="1">
      <c r="A57" s="7" t="s">
        <v>130</v>
      </c>
      <c r="B57" s="16">
        <v>100.0</v>
      </c>
    </row>
    <row r="58" ht="15.0" customHeight="1">
      <c r="A58" s="7" t="s">
        <v>131</v>
      </c>
      <c r="B58" s="16">
        <v>10.0</v>
      </c>
      <c r="C58" s="57" t="s">
        <v>132</v>
      </c>
    </row>
    <row r="59" ht="15.0" customHeight="1">
      <c r="A59" s="7" t="s">
        <v>133</v>
      </c>
      <c r="B59" s="16">
        <v>75.0</v>
      </c>
      <c r="C59" s="57" t="s">
        <v>134</v>
      </c>
    </row>
    <row r="60" ht="15.0" customHeight="1">
      <c r="A60" s="7" t="s">
        <v>135</v>
      </c>
      <c r="B60" s="16">
        <v>50.0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Z1"/>
    <mergeCell ref="A2:Z2"/>
    <mergeCell ref="A3:Z3"/>
    <mergeCell ref="A9:Z9"/>
    <mergeCell ref="A18:Z18"/>
    <mergeCell ref="A24:Z24"/>
    <mergeCell ref="A25:Z25"/>
    <mergeCell ref="C52:J52"/>
    <mergeCell ref="A55:Z55"/>
    <mergeCell ref="C56:J56"/>
    <mergeCell ref="C58:J58"/>
    <mergeCell ref="C59:J59"/>
    <mergeCell ref="A31:Z31"/>
    <mergeCell ref="A32:Z32"/>
    <mergeCell ref="E34:P38"/>
    <mergeCell ref="A40:Z40"/>
    <mergeCell ref="A41:Z41"/>
    <mergeCell ref="A48:Z48"/>
    <mergeCell ref="C49:J4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2026-07-25T16:12:23Z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