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tfre\AppData\Local\Temp\claude\C--Users-rtfre-Projects-tvct-website\5a46fa15-4a08-435f-b1f0-b973727c6eb3\scratchpad\"/>
    </mc:Choice>
  </mc:AlternateContent>
  <xr:revisionPtr revIDLastSave="0" documentId="13_ncr:1_{4A4AB865-5B52-4C87-B192-7FC76853FC2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Assumptions" sheetId="1" r:id="rId1"/>
    <sheet name="Pricing 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68" i="2" l="1"/>
  <c r="AA66" i="2"/>
  <c r="AA70" i="2" s="1"/>
  <c r="AA65" i="2"/>
  <c r="Z68" i="2"/>
  <c r="Z66" i="2"/>
  <c r="Z65" i="2"/>
  <c r="Y68" i="2"/>
  <c r="Y66" i="2"/>
  <c r="Y70" i="2" s="1"/>
  <c r="Y65" i="2"/>
  <c r="X68" i="2"/>
  <c r="X66" i="2"/>
  <c r="X70" i="2" s="1"/>
  <c r="X65" i="2"/>
  <c r="W68" i="2"/>
  <c r="W66" i="2"/>
  <c r="W65" i="2"/>
  <c r="V68" i="2"/>
  <c r="V66" i="2"/>
  <c r="V65" i="2"/>
  <c r="U68" i="2"/>
  <c r="U66" i="2"/>
  <c r="U65" i="2"/>
  <c r="T68" i="2"/>
  <c r="T66" i="2"/>
  <c r="T65" i="2"/>
  <c r="S68" i="2"/>
  <c r="S69" i="2" s="1"/>
  <c r="S66" i="2"/>
  <c r="S67" i="2" s="1"/>
  <c r="S65" i="2"/>
  <c r="R68" i="2"/>
  <c r="R69" i="2" s="1"/>
  <c r="R66" i="2"/>
  <c r="R70" i="2" s="1"/>
  <c r="R65" i="2"/>
  <c r="Q68" i="2"/>
  <c r="Q66" i="2"/>
  <c r="Q70" i="2" s="1"/>
  <c r="Q65" i="2"/>
  <c r="P68" i="2"/>
  <c r="P66" i="2"/>
  <c r="P70" i="2" s="1"/>
  <c r="P65" i="2"/>
  <c r="O68" i="2"/>
  <c r="O66" i="2"/>
  <c r="O70" i="2" s="1"/>
  <c r="O65" i="2"/>
  <c r="N68" i="2"/>
  <c r="N66" i="2"/>
  <c r="N70" i="2" s="1"/>
  <c r="N65" i="2"/>
  <c r="M68" i="2"/>
  <c r="M66" i="2"/>
  <c r="M70" i="2" s="1"/>
  <c r="M65" i="2"/>
  <c r="L68" i="2"/>
  <c r="L66" i="2"/>
  <c r="L65" i="2"/>
  <c r="K68" i="2"/>
  <c r="K66" i="2"/>
  <c r="K70" i="2" s="1"/>
  <c r="K65" i="2"/>
  <c r="J68" i="2"/>
  <c r="J66" i="2"/>
  <c r="J65" i="2"/>
  <c r="I68" i="2"/>
  <c r="I69" i="2" s="1"/>
  <c r="I66" i="2"/>
  <c r="I70" i="2" s="1"/>
  <c r="I65" i="2"/>
  <c r="H68" i="2"/>
  <c r="H69" i="2" s="1"/>
  <c r="H66" i="2"/>
  <c r="H67" i="2" s="1"/>
  <c r="H65" i="2"/>
  <c r="G68" i="2"/>
  <c r="G66" i="2"/>
  <c r="G70" i="2" s="1"/>
  <c r="G65" i="2"/>
  <c r="F68" i="2"/>
  <c r="F66" i="2"/>
  <c r="F70" i="2" s="1"/>
  <c r="F65" i="2"/>
  <c r="E68" i="2"/>
  <c r="E66" i="2"/>
  <c r="E70" i="2" s="1"/>
  <c r="E65" i="2"/>
  <c r="D68" i="2"/>
  <c r="D66" i="2"/>
  <c r="D70" i="2" s="1"/>
  <c r="D65" i="2"/>
  <c r="C68" i="2"/>
  <c r="C66" i="2"/>
  <c r="C70" i="2" s="1"/>
  <c r="C65" i="2"/>
  <c r="B68" i="2"/>
  <c r="B66" i="2"/>
  <c r="B65" i="2"/>
  <c r="I46" i="2"/>
  <c r="H46" i="2"/>
  <c r="Y44" i="2"/>
  <c r="X44" i="2"/>
  <c r="W44" i="2"/>
  <c r="V44" i="2"/>
  <c r="U44" i="2"/>
  <c r="T44" i="2"/>
  <c r="S44" i="2"/>
  <c r="J43" i="2"/>
  <c r="I43" i="2"/>
  <c r="B43" i="2"/>
  <c r="B38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B28" i="1"/>
  <c r="D38" i="2" s="1"/>
  <c r="B22" i="1"/>
  <c r="Z46" i="2" s="1"/>
  <c r="M46" i="2" l="1"/>
  <c r="L46" i="2"/>
  <c r="N46" i="2"/>
  <c r="B37" i="2"/>
  <c r="J46" i="2"/>
  <c r="K46" i="2"/>
  <c r="C37" i="2"/>
  <c r="D37" i="2"/>
  <c r="J45" i="2"/>
  <c r="O46" i="2"/>
  <c r="L43" i="2"/>
  <c r="AA44" i="2"/>
  <c r="P46" i="2"/>
  <c r="N43" i="2"/>
  <c r="B54" i="1"/>
  <c r="P43" i="2"/>
  <c r="Q43" i="2"/>
  <c r="V67" i="2"/>
  <c r="G45" i="2"/>
  <c r="U43" i="2"/>
  <c r="M69" i="2"/>
  <c r="N45" i="2"/>
  <c r="W43" i="2"/>
  <c r="W69" i="2"/>
  <c r="V45" i="2"/>
  <c r="N69" i="2"/>
  <c r="W45" i="2"/>
  <c r="X69" i="2"/>
  <c r="AA43" i="2"/>
  <c r="Y45" i="2"/>
  <c r="Y69" i="2"/>
  <c r="B35" i="2"/>
  <c r="P69" i="2"/>
  <c r="Z67" i="2"/>
  <c r="D35" i="2"/>
  <c r="O44" i="2"/>
  <c r="D46" i="2"/>
  <c r="Z69" i="2"/>
  <c r="B45" i="2"/>
  <c r="E45" i="2"/>
  <c r="V43" i="2"/>
  <c r="Z43" i="2"/>
  <c r="X45" i="2"/>
  <c r="C34" i="2"/>
  <c r="D44" i="2"/>
  <c r="B36" i="2"/>
  <c r="P44" i="2"/>
  <c r="E46" i="2"/>
  <c r="Q67" i="2"/>
  <c r="K43" i="2"/>
  <c r="J67" i="2"/>
  <c r="T69" i="2"/>
  <c r="C45" i="2"/>
  <c r="B53" i="1"/>
  <c r="O43" i="2"/>
  <c r="U69" i="2"/>
  <c r="B67" i="2"/>
  <c r="L69" i="2"/>
  <c r="H45" i="2"/>
  <c r="T43" i="2"/>
  <c r="C69" i="2"/>
  <c r="W67" i="2"/>
  <c r="U45" i="2"/>
  <c r="E69" i="2"/>
  <c r="Z45" i="2"/>
  <c r="D34" i="2"/>
  <c r="C44" i="2"/>
  <c r="AA45" i="2"/>
  <c r="C35" i="2"/>
  <c r="F69" i="2"/>
  <c r="C36" i="2"/>
  <c r="Q44" i="2"/>
  <c r="F46" i="2"/>
  <c r="Q69" i="2"/>
  <c r="Z44" i="2"/>
  <c r="T67" i="2"/>
  <c r="J69" i="2"/>
  <c r="M43" i="2"/>
  <c r="T46" i="2"/>
  <c r="U67" i="2"/>
  <c r="D45" i="2"/>
  <c r="K69" i="2"/>
  <c r="F45" i="2"/>
  <c r="L67" i="2"/>
  <c r="R43" i="2"/>
  <c r="B69" i="2"/>
  <c r="S43" i="2"/>
  <c r="V69" i="2"/>
  <c r="I45" i="2"/>
  <c r="V70" i="2"/>
  <c r="X43" i="2"/>
  <c r="D69" i="2"/>
  <c r="Y43" i="2"/>
  <c r="B34" i="2"/>
  <c r="O69" i="2"/>
  <c r="B44" i="2"/>
  <c r="F67" i="2"/>
  <c r="B46" i="2"/>
  <c r="H44" i="2"/>
  <c r="C46" i="2"/>
  <c r="D36" i="2"/>
  <c r="R44" i="2"/>
  <c r="G46" i="2"/>
  <c r="G69" i="2"/>
  <c r="AA69" i="2"/>
  <c r="L70" i="2"/>
  <c r="R67" i="2"/>
  <c r="W70" i="2"/>
  <c r="M67" i="2"/>
  <c r="B70" i="2"/>
  <c r="X67" i="2"/>
  <c r="H70" i="2"/>
  <c r="I67" i="2"/>
  <c r="E67" i="2"/>
  <c r="J70" i="2"/>
  <c r="Z70" i="2"/>
  <c r="U70" i="2"/>
  <c r="K67" i="2"/>
  <c r="AA67" i="2"/>
  <c r="G67" i="2"/>
  <c r="S70" i="2"/>
  <c r="Y67" i="2"/>
  <c r="O67" i="2"/>
  <c r="T70" i="2"/>
  <c r="P67" i="2"/>
  <c r="C67" i="2"/>
  <c r="N67" i="2"/>
  <c r="D67" i="2"/>
  <c r="E44" i="2"/>
  <c r="Q46" i="2"/>
  <c r="C38" i="2"/>
  <c r="F44" i="2"/>
  <c r="L45" i="2"/>
  <c r="R46" i="2"/>
  <c r="K45" i="2"/>
  <c r="G44" i="2"/>
  <c r="M45" i="2"/>
  <c r="S46" i="2"/>
  <c r="O45" i="2"/>
  <c r="J44" i="2"/>
  <c r="V46" i="2"/>
  <c r="K44" i="2"/>
  <c r="W46" i="2"/>
  <c r="F43" i="2"/>
  <c r="R45" i="2"/>
  <c r="G43" i="2"/>
  <c r="M44" i="2"/>
  <c r="S45" i="2"/>
  <c r="Y46" i="2"/>
  <c r="C43" i="2"/>
  <c r="I44" i="2"/>
  <c r="U46" i="2"/>
  <c r="D43" i="2"/>
  <c r="P45" i="2"/>
  <c r="E43" i="2"/>
  <c r="Q45" i="2"/>
  <c r="L44" i="2"/>
  <c r="X46" i="2"/>
  <c r="H43" i="2"/>
  <c r="N44" i="2"/>
  <c r="T45" i="2"/>
</calcChain>
</file>

<file path=xl/sharedStrings.xml><?xml version="1.0" encoding="utf-8"?>
<sst xmlns="http://schemas.openxmlformats.org/spreadsheetml/2006/main" count="154" uniqueCount="128">
  <si>
    <t>THE VALLEY CLEAN TEAM — PRICING ASSUMPTIONS</t>
  </si>
  <si>
    <t>Reconciled to BookingKoala 2026-08-21 — BK is authoritative</t>
  </si>
  <si>
    <t>CLIENT-FACING BILLING RATES</t>
  </si>
  <si>
    <t>Input</t>
  </si>
  <si>
    <t>Value</t>
  </si>
  <si>
    <t>Notes</t>
  </si>
  <si>
    <t>Standard hourly billing rate</t>
  </si>
  <si>
    <t>Rate per cleaner-hour quoted to clients</t>
  </si>
  <si>
    <t>Post-construction hourly rate</t>
  </si>
  <si>
    <t>Higher rate for specialty post-construction work</t>
  </si>
  <si>
    <t>SUBCONTRACTOR MODEL</t>
  </si>
  <si>
    <t>Sub rate — low end</t>
  </si>
  <si>
    <t>Lowest percentage you pay a sub</t>
  </si>
  <si>
    <t>Sub rate — high end</t>
  </si>
  <si>
    <t>Highest percentage you pay a sub</t>
  </si>
  <si>
    <t>Sub rate for margin calculations</t>
  </si>
  <si>
    <t>Midpoint — adjust to your most common rate</t>
  </si>
  <si>
    <t>Target gross margin</t>
  </si>
  <si>
    <t>(Revenue − All Costs) ÷ Revenue</t>
  </si>
  <si>
    <t>TRAVEL FEES BY ZONE  ·  Flat per-job fee paid to sub for gas</t>
  </si>
  <si>
    <t>Zone 1 — Nashville core (closest)</t>
  </si>
  <si>
    <t>Local jobs</t>
  </si>
  <si>
    <t>Zone 2</t>
  </si>
  <si>
    <t>Zone 3 — Mid-range</t>
  </si>
  <si>
    <t>Zone 4</t>
  </si>
  <si>
    <t>Zone 5 — Furthest out</t>
  </si>
  <si>
    <t>Furthest service area</t>
  </si>
  <si>
    <t>Zone used for margin calculations</t>
  </si>
  <si>
    <t>Defaults to Zone 3 — change formula to B17–B21 for different zone</t>
  </si>
  <si>
    <t>TODD'S FIXED COSTS PER JOB  ·  Costs NOT covered by the sub</t>
  </si>
  <si>
    <t>Software &amp; tech (GHL, scheduling, etc.)</t>
  </si>
  <si>
    <t>Monthly cost ÷ avg jobs per month  —  update this number</t>
  </si>
  <si>
    <t>Marketing &amp; sales allocation</t>
  </si>
  <si>
    <t>Monthly ad/lead spend ÷ avg jobs per month</t>
  </si>
  <si>
    <t>Total fixed cost per job</t>
  </si>
  <si>
    <t>Auto-calculated — do not edit</t>
  </si>
  <si>
    <t>TIME ESTIMATES  ·  Hours per 1,000 sq ft  —  used for scheduling</t>
  </si>
  <si>
    <t>Service</t>
  </si>
  <si>
    <t>Hrs / 1,000 sq ft</t>
  </si>
  <si>
    <t>Example</t>
  </si>
  <si>
    <t>Deep clean / first visit</t>
  </si>
  <si>
    <t>~21 hrs for an 8,000 sq ft home</t>
  </si>
  <si>
    <t>Standard / recurring clean</t>
  </si>
  <si>
    <t>~15 hrs for an 8,000 sq ft home</t>
  </si>
  <si>
    <t>Move in / out</t>
  </si>
  <si>
    <t>Same scope as deep clean</t>
  </si>
  <si>
    <t>Post-construction final clean</t>
  </si>
  <si>
    <t>~25 hrs for an 8,000 sq ft new build</t>
  </si>
  <si>
    <t>RECURRING DISCOUNTS  ·  Applied to Standard Clean price</t>
  </si>
  <si>
    <t>Monthly</t>
  </si>
  <si>
    <t>15% off standard</t>
  </si>
  <si>
    <t>Bi-weekly</t>
  </si>
  <si>
    <t>25% off standard</t>
  </si>
  <si>
    <t>Weekly</t>
  </si>
  <si>
    <t>30% off standard</t>
  </si>
  <si>
    <t>MINIMUM PRICES</t>
  </si>
  <si>
    <t>Deep clean minimum</t>
  </si>
  <si>
    <t>Standard clean minimum</t>
  </si>
  <si>
    <t>Weekly recurring minimum</t>
  </si>
  <si>
    <t>Move in/out minimum</t>
  </si>
  <si>
    <t>Post-construction minimum</t>
  </si>
  <si>
    <t>THE VALLEY CLEAN TEAM — PRICING TABLE</t>
  </si>
  <si>
    <t>Orange (cols B–S, 750–6,500 sq ft) = existing pricing.   Blue (cols T–Z, 7,000–10,000 sq ft) = extended, market-rate grounded.   Amber rows = estimated labor hours for scheduling.   Discounts: Monthly −15%  |  Bi-Weekly −25%  |  Weekly −30% off Standard.</t>
  </si>
  <si>
    <t>DEEP CLEAN  (First Cleaning)</t>
  </si>
  <si>
    <t>Sq Ft  →</t>
  </si>
  <si>
    <t>First Cleaning (Deep Clean)</t>
  </si>
  <si>
    <t>Per Sq Ft</t>
  </si>
  <si>
    <t>Est. Labor Hours</t>
  </si>
  <si>
    <t>STANDARD / RECURRING CLEAN</t>
  </si>
  <si>
    <t>Standard Clean (one-time)</t>
  </si>
  <si>
    <t>Monthly Clean (15% off)</t>
  </si>
  <si>
    <t>Bi-Weekly Clean (25% off)</t>
  </si>
  <si>
    <t>Weekly Clean (30% off)</t>
  </si>
  <si>
    <t>Weekly — Per Sq Ft</t>
  </si>
  <si>
    <t>MOVE IN / MOVE OUT  (+$75 above Deep Clean)</t>
  </si>
  <si>
    <t>Move In / Out Clean</t>
  </si>
  <si>
    <t>POST-CONSTRUCTION CLEAN UP</t>
  </si>
  <si>
    <t>⚠️  RATE CHANGE FOR 7,000+ SQ FT: Existing prices used '50% above Move In/Out' formula — which underprices large new builds. Extended range uses $0.50/sq ft, grounded in Nashville post-construction market rates ($3,200–$4,400 for 8,000 sq ft).</t>
  </si>
  <si>
    <t>Construction Clean Up</t>
  </si>
  <si>
    <t>SUBCONTRACTOR FLOOR CHECK  —  Minimum Viable Job Price by Zone &amp; Sub Rate</t>
  </si>
  <si>
    <t>Formula: (Travel Fee + Fixed Costs Per Job) ÷ (1 − Sub Rate % − Target Margin %)   Any job priced above the floor for its zone/sub rate hits your margin target.</t>
  </si>
  <si>
    <t>Zone / Travel Fee</t>
  </si>
  <si>
    <t>40% Sub Rate</t>
  </si>
  <si>
    <t>45% Sub Rate</t>
  </si>
  <si>
    <t>50% Sub Rate</t>
  </si>
  <si>
    <t>Zone 1 — $5 travel</t>
  </si>
  <si>
    <t>← Any job priced above the number in its row hits your margin target. Larger jobs generate higher margins because fixed costs become a smaller % of revenue. See Margin table below.</t>
  </si>
  <si>
    <t>Zone 2 — $8 travel</t>
  </si>
  <si>
    <t>Zone 3 — $10 travel</t>
  </si>
  <si>
    <t>Zone 4 — $12 travel</t>
  </si>
  <si>
    <t>Zone 5 — $15 travel</t>
  </si>
  <si>
    <t>EFFECTIVE MARGIN BY PRICE TIER  ·  At 45% sub rate, Zone 3 ($10 travel) — update in Assumptions</t>
  </si>
  <si>
    <t>Formula: 1 − Sub Rate % − (Travel + Fixed Costs) ÷ Job Price   Margin improves as job price increases — fixed costs become a smaller % of larger jobs.</t>
  </si>
  <si>
    <t>Deep Clean Margin %</t>
  </si>
  <si>
    <t>Standard Clean Margin %</t>
  </si>
  <si>
    <t>Weekly Clean Margin %</t>
  </si>
  <si>
    <t>Construction Margin %</t>
  </si>
  <si>
    <t>Deep Clean</t>
  </si>
  <si>
    <t>Included: inside oven + inside fridge</t>
  </si>
  <si>
    <t>Standard Clean</t>
  </si>
  <si>
    <t>Weekly Recurring</t>
  </si>
  <si>
    <t>Move In / Out</t>
  </si>
  <si>
    <t>Post-Construction</t>
  </si>
  <si>
    <t>ADD-ON EXTRAS  (Not limited to)</t>
  </si>
  <si>
    <t>Inside Oven</t>
  </si>
  <si>
    <t>Included in deep clean &amp; move in/out</t>
  </si>
  <si>
    <t>Extra Pet Hair / Shedding</t>
  </si>
  <si>
    <t>Wet Wipe Window Blinds</t>
  </si>
  <si>
    <t>BK live value $20</t>
  </si>
  <si>
    <t>Clean Inside Refrigerator</t>
  </si>
  <si>
    <t>Included in move in/out · BK live value $42.50</t>
  </si>
  <si>
    <t>Inside Dishwasher</t>
  </si>
  <si>
    <t>BK live value $35</t>
  </si>
  <si>
    <t>PROPOSED SMALL-END FLOOR  (scenario input)</t>
  </si>
  <si>
    <t>Proposed minimum billed price (any service)</t>
  </si>
  <si>
    <t>SCENARIO LEVER - change this cell to re-model the floor</t>
  </si>
  <si>
    <t>Breakeven price (margin = 0) at current costs</t>
  </si>
  <si>
    <t>Auto-calculated - do not edit</t>
  </si>
  <si>
    <t>Price required to hit target margin</t>
  </si>
  <si>
    <t>Auto-calculated - the 38% target floor</t>
  </si>
  <si>
    <t>FLOOR SCENARIO  -  Billed price after applying the proposed minimum (Assumptions!B52)</t>
  </si>
  <si>
    <t>Rate rows above are what BookingKoala charges. These rows show what you would ACTUALLY bill once a minimum is enforced, and the resulting margin. Change Assumptions!B52 to re-model. Breakeven = Assumptions!B53; the 38% target needs Assumptions!B54.</t>
  </si>
  <si>
    <t>Sq Ft  -&gt;</t>
  </si>
  <si>
    <t>Weekly - billed (floored)</t>
  </si>
  <si>
    <t>Weekly - margin % (floored)</t>
  </si>
  <si>
    <t>Standard - billed (floored)</t>
  </si>
  <si>
    <t>Standard - margin % (floored)</t>
  </si>
  <si>
    <t>Uplift vs BK weekly rate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</si>
</sst>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\$#,##0"/>
    <numFmt numFmtId="166" formatCode="\$0.00"/>
    <numFmt numFmtId="167" formatCode="0.000"/>
    <numFmt numFmtId="168" formatCode="0.0"/>
    <numFmt numFmtId="169" formatCode="0.0%"/>
    <numFmt numFmtId="170" formatCode="&quot;$&quot;#,##0"/>
  </numFmts>
  <fonts count="22" x14ac:knownFonts="1">
    <font>
      <sz val="11"/>
      <color theme="1"/>
      <name val="Calibri"/>
      <scheme val="minor"/>
    </font>
    <font>
      <b/>
      <sz val="14"/>
      <color rgb="FFFFFFFF"/>
      <name val="Arial"/>
    </font>
    <font>
      <b/>
      <sz val="11"/>
      <color rgb="FFFFFFFF"/>
      <name val="Arial"/>
    </font>
    <font>
      <i/>
      <sz val="8"/>
      <color rgb="FF555555"/>
      <name val="Arial"/>
    </font>
    <font>
      <b/>
      <sz val="9"/>
      <color rgb="FF333333"/>
      <name val="Arial"/>
    </font>
    <font>
      <sz val="9"/>
      <color rgb="FF333333"/>
      <name val="Arial"/>
    </font>
    <font>
      <b/>
      <sz val="10"/>
      <color rgb="FF1A5276"/>
      <name val="Arial"/>
    </font>
    <font>
      <i/>
      <sz val="8"/>
      <color rgb="FF7F8C8D"/>
      <name val="Arial"/>
    </font>
    <font>
      <b/>
      <sz val="9"/>
      <color rgb="FFFFFFFF"/>
      <name val="Arial"/>
    </font>
    <font>
      <b/>
      <sz val="11"/>
      <color rgb="FF333333"/>
      <name val="Arial"/>
    </font>
    <font>
      <b/>
      <sz val="9"/>
      <color rgb="FF1A5276"/>
      <name val="Arial"/>
    </font>
    <font>
      <i/>
      <sz val="8"/>
      <color rgb="FF888888"/>
      <name val="Arial"/>
    </font>
    <font>
      <i/>
      <sz val="9"/>
      <color rgb="FF555555"/>
      <name val="Arial"/>
    </font>
    <font>
      <b/>
      <sz val="11"/>
      <color rgb="FF784212"/>
      <name val="Arial"/>
    </font>
    <font>
      <b/>
      <sz val="9"/>
      <color rgb="FF784212"/>
      <name val="Arial"/>
    </font>
    <font>
      <i/>
      <sz val="8"/>
      <color rgb="FF784212"/>
      <name val="Arial"/>
    </font>
    <font>
      <i/>
      <sz val="8"/>
      <color rgb="FF7D6608"/>
      <name val="Arial"/>
    </font>
    <font>
      <sz val="9"/>
      <color rgb="FF7D6608"/>
      <name val="Arial"/>
    </font>
    <font>
      <b/>
      <sz val="11"/>
      <color rgb="FF1E8449"/>
      <name val="Arial"/>
    </font>
    <font>
      <i/>
      <sz val="8"/>
      <color rgb="FF1E8449"/>
      <name val="Arial"/>
    </font>
    <font>
      <sz val="9"/>
      <color rgb="FF1E8449"/>
      <name val="Arial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8C61"/>
        <bgColor rgb="FFFF8C61"/>
      </patternFill>
    </fill>
    <fill>
      <patternFill patternType="solid">
        <fgColor rgb="FFFFF8F5"/>
        <bgColor rgb="FFFFF8F5"/>
      </patternFill>
    </fill>
    <fill>
      <patternFill patternType="solid">
        <fgColor rgb="FFEAECEE"/>
        <bgColor rgb="FFEAECEE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2F3F4"/>
        <bgColor rgb="FFF2F3F4"/>
      </patternFill>
    </fill>
    <fill>
      <patternFill patternType="solid">
        <fgColor rgb="FFFFA985"/>
        <bgColor rgb="FFFFA985"/>
      </patternFill>
    </fill>
    <fill>
      <patternFill patternType="solid">
        <fgColor rgb="FF2471A3"/>
        <bgColor rgb="FF2471A3"/>
      </patternFill>
    </fill>
    <fill>
      <patternFill patternType="solid">
        <fgColor rgb="FFD6EAF8"/>
        <bgColor rgb="FFD6EAF8"/>
      </patternFill>
    </fill>
    <fill>
      <patternFill patternType="solid">
        <fgColor rgb="FFC8DCF0"/>
        <bgColor rgb="FFC8DCF0"/>
      </patternFill>
    </fill>
    <fill>
      <patternFill patternType="solid">
        <fgColor rgb="FFFEF0E7"/>
        <bgColor rgb="FFFEF0E7"/>
      </patternFill>
    </fill>
    <fill>
      <patternFill patternType="solid">
        <fgColor rgb="FFF5CBA7"/>
        <bgColor rgb="FFF5CBA7"/>
      </patternFill>
    </fill>
    <fill>
      <patternFill patternType="solid">
        <fgColor rgb="FFF9EBEA"/>
        <bgColor rgb="FFF9EBEA"/>
      </patternFill>
    </fill>
    <fill>
      <patternFill patternType="solid">
        <fgColor rgb="FFFAD7A0"/>
        <bgColor rgb="FFFAD7A0"/>
      </patternFill>
    </fill>
    <fill>
      <patternFill patternType="solid">
        <fgColor rgb="FFFDEBD0"/>
        <bgColor rgb="FFFDEBD0"/>
      </patternFill>
    </fill>
    <fill>
      <patternFill patternType="solid">
        <fgColor rgb="FFFDFDE3"/>
        <bgColor rgb="FFFDFDE3"/>
      </patternFill>
    </fill>
    <fill>
      <patternFill patternType="solid">
        <fgColor rgb="FFD5D8DC"/>
        <bgColor rgb="FFD5D8DC"/>
      </patternFill>
    </fill>
    <fill>
      <patternFill patternType="solid">
        <fgColor rgb="FFE9F7EF"/>
        <bgColor rgb="FFE9F7EF"/>
      </patternFill>
    </fill>
    <fill>
      <patternFill patternType="solid">
        <fgColor rgb="FFA9DFBF"/>
        <bgColor rgb="FFA9DFB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left" vertical="center" wrapText="1"/>
    </xf>
    <xf numFmtId="9" fontId="6" fillId="6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6" fillId="6" borderId="1" xfId="0" applyNumberFormat="1" applyFont="1" applyFill="1" applyBorder="1" applyAlignment="1">
      <alignment horizontal="center" vertical="center"/>
    </xf>
    <xf numFmtId="165" fontId="10" fillId="10" borderId="1" xfId="0" applyNumberFormat="1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166" fontId="11" fillId="7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166" fontId="11" fillId="11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167" fontId="6" fillId="6" borderId="1" xfId="0" applyNumberFormat="1" applyFont="1" applyFill="1" applyBorder="1" applyAlignment="1">
      <alignment horizontal="center" vertical="center"/>
    </xf>
    <xf numFmtId="168" fontId="14" fillId="12" borderId="1" xfId="0" applyNumberFormat="1" applyFont="1" applyFill="1" applyBorder="1" applyAlignment="1">
      <alignment horizontal="center" vertical="center"/>
    </xf>
    <xf numFmtId="168" fontId="14" fillId="1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165" fontId="5" fillId="14" borderId="1" xfId="0" applyNumberFormat="1" applyFont="1" applyFill="1" applyBorder="1" applyAlignment="1">
      <alignment horizontal="center" vertical="center"/>
    </xf>
    <xf numFmtId="0" fontId="11" fillId="15" borderId="1" xfId="0" applyFont="1" applyFill="1" applyBorder="1" applyAlignment="1">
      <alignment horizontal="left" vertical="center"/>
    </xf>
    <xf numFmtId="166" fontId="11" fillId="15" borderId="1" xfId="0" applyNumberFormat="1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17" fillId="17" borderId="1" xfId="0" applyFont="1" applyFill="1" applyBorder="1" applyAlignment="1">
      <alignment horizontal="left" vertical="center"/>
    </xf>
    <xf numFmtId="165" fontId="17" fillId="17" borderId="1" xfId="0" applyNumberFormat="1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left" vertical="center"/>
    </xf>
    <xf numFmtId="169" fontId="20" fillId="19" borderId="1" xfId="0" applyNumberFormat="1" applyFont="1" applyFill="1" applyBorder="1" applyAlignment="1">
      <alignment horizontal="center" vertical="center"/>
    </xf>
    <xf numFmtId="169" fontId="20" fillId="20" borderId="1" xfId="0" applyNumberFormat="1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3" fontId="8" fillId="9" borderId="1" xfId="0" applyNumberFormat="1" applyFont="1" applyFill="1" applyBorder="1" applyAlignment="1">
      <alignment horizontal="center" vertical="center"/>
    </xf>
    <xf numFmtId="170" fontId="0" fillId="0" borderId="0" xfId="0" applyNumberFormat="1"/>
    <xf numFmtId="0" fontId="21" fillId="0" borderId="0" xfId="0" applyFont="1"/>
    <xf numFmtId="3" fontId="0" fillId="0" borderId="0" xfId="0" applyNumberFormat="1"/>
    <xf numFmtId="169" fontId="0" fillId="0" borderId="0" xfId="0" applyNumberFormat="1"/>
    <xf numFmtId="0" fontId="2" fillId="2" borderId="1" xfId="0" applyFont="1" applyFill="1" applyBorder="1" applyAlignment="1">
      <alignment horizontal="lef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left" vertical="center" wrapText="1"/>
    </xf>
    <xf numFmtId="0" fontId="15" fillId="16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 wrapText="1"/>
    </xf>
    <xf numFmtId="0" fontId="18" fillId="1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tabSelected="1" workbookViewId="0">
      <selection sqref="A1:C1"/>
    </sheetView>
  </sheetViews>
  <sheetFormatPr defaultColWidth="14.42578125" defaultRowHeight="15" customHeight="1" x14ac:dyDescent="0.25"/>
  <cols>
    <col min="1" max="1" width="40" customWidth="1"/>
    <col min="2" max="2" width="18" customWidth="1"/>
    <col min="3" max="3" width="52" customWidth="1"/>
    <col min="4" max="26" width="8.7109375" customWidth="1"/>
  </cols>
  <sheetData>
    <row r="1" spans="1:3" ht="31.5" customHeight="1" x14ac:dyDescent="0.25">
      <c r="A1" s="43" t="s">
        <v>0</v>
      </c>
      <c r="B1" s="42"/>
      <c r="C1" s="42"/>
    </row>
    <row r="2" spans="1:3" ht="6" customHeight="1" x14ac:dyDescent="0.25">
      <c r="A2" t="s">
        <v>1</v>
      </c>
    </row>
    <row r="3" spans="1:3" ht="21.75" customHeight="1" x14ac:dyDescent="0.25">
      <c r="A3" s="41" t="s">
        <v>2</v>
      </c>
      <c r="B3" s="42"/>
      <c r="C3" s="42"/>
    </row>
    <row r="4" spans="1:3" ht="15.75" customHeight="1" x14ac:dyDescent="0.25">
      <c r="A4" s="1" t="s">
        <v>3</v>
      </c>
      <c r="B4" s="1" t="s">
        <v>4</v>
      </c>
      <c r="C4" s="1" t="s">
        <v>5</v>
      </c>
    </row>
    <row r="5" spans="1:3" ht="15.75" customHeight="1" x14ac:dyDescent="0.25">
      <c r="A5" s="2" t="s">
        <v>6</v>
      </c>
      <c r="B5" s="3">
        <v>62.5</v>
      </c>
      <c r="C5" s="5" t="s">
        <v>7</v>
      </c>
    </row>
    <row r="6" spans="1:3" ht="15.75" customHeight="1" x14ac:dyDescent="0.25">
      <c r="A6" s="2" t="s">
        <v>8</v>
      </c>
      <c r="B6" s="3">
        <v>95</v>
      </c>
      <c r="C6" s="5" t="s">
        <v>9</v>
      </c>
    </row>
    <row r="7" spans="1:3" ht="7.5" customHeight="1" x14ac:dyDescent="0.25"/>
    <row r="8" spans="1:3" ht="21.75" customHeight="1" x14ac:dyDescent="0.25">
      <c r="A8" s="44" t="s">
        <v>10</v>
      </c>
      <c r="B8" s="42"/>
      <c r="C8" s="42"/>
    </row>
    <row r="9" spans="1:3" ht="15.75" customHeight="1" x14ac:dyDescent="0.25">
      <c r="A9" s="1" t="s">
        <v>3</v>
      </c>
      <c r="B9" s="1" t="s">
        <v>4</v>
      </c>
      <c r="C9" s="1" t="s">
        <v>5</v>
      </c>
    </row>
    <row r="10" spans="1:3" ht="15.75" customHeight="1" x14ac:dyDescent="0.25">
      <c r="A10" s="2" t="s">
        <v>11</v>
      </c>
      <c r="B10" s="6">
        <v>0.4</v>
      </c>
      <c r="C10" s="5" t="s">
        <v>12</v>
      </c>
    </row>
    <row r="11" spans="1:3" ht="15.75" customHeight="1" x14ac:dyDescent="0.25">
      <c r="A11" s="2" t="s">
        <v>13</v>
      </c>
      <c r="B11" s="6">
        <v>0.5</v>
      </c>
      <c r="C11" s="5" t="s">
        <v>14</v>
      </c>
    </row>
    <row r="12" spans="1:3" ht="15.75" customHeight="1" x14ac:dyDescent="0.25">
      <c r="A12" s="2" t="s">
        <v>15</v>
      </c>
      <c r="B12" s="6">
        <v>0.45</v>
      </c>
      <c r="C12" s="5" t="s">
        <v>16</v>
      </c>
    </row>
    <row r="13" spans="1:3" ht="15.75" customHeight="1" x14ac:dyDescent="0.25">
      <c r="A13" s="2" t="s">
        <v>17</v>
      </c>
      <c r="B13" s="6">
        <v>0.38</v>
      </c>
      <c r="C13" s="5" t="s">
        <v>18</v>
      </c>
    </row>
    <row r="14" spans="1:3" ht="7.5" customHeight="1" x14ac:dyDescent="0.25"/>
    <row r="15" spans="1:3" ht="21.75" customHeight="1" x14ac:dyDescent="0.25">
      <c r="A15" s="41" t="s">
        <v>19</v>
      </c>
      <c r="B15" s="42"/>
      <c r="C15" s="42"/>
    </row>
    <row r="16" spans="1:3" ht="15.75" customHeight="1" x14ac:dyDescent="0.25">
      <c r="A16" s="1" t="s">
        <v>3</v>
      </c>
      <c r="B16" s="1" t="s">
        <v>4</v>
      </c>
      <c r="C16" s="1" t="s">
        <v>5</v>
      </c>
    </row>
    <row r="17" spans="1:3" ht="15.75" customHeight="1" x14ac:dyDescent="0.25">
      <c r="A17" s="2" t="s">
        <v>20</v>
      </c>
      <c r="B17" s="9">
        <v>5</v>
      </c>
      <c r="C17" s="5" t="s">
        <v>21</v>
      </c>
    </row>
    <row r="18" spans="1:3" ht="15.75" customHeight="1" x14ac:dyDescent="0.25">
      <c r="A18" s="2" t="s">
        <v>22</v>
      </c>
      <c r="B18" s="9">
        <v>8</v>
      </c>
      <c r="C18" s="5"/>
    </row>
    <row r="19" spans="1:3" ht="15.75" customHeight="1" x14ac:dyDescent="0.25">
      <c r="A19" s="2" t="s">
        <v>23</v>
      </c>
      <c r="B19" s="9">
        <v>10</v>
      </c>
      <c r="C19" s="5"/>
    </row>
    <row r="20" spans="1:3" ht="15.75" customHeight="1" x14ac:dyDescent="0.25">
      <c r="A20" s="2" t="s">
        <v>24</v>
      </c>
      <c r="B20" s="9">
        <v>12</v>
      </c>
      <c r="C20" s="5"/>
    </row>
    <row r="21" spans="1:3" ht="15.75" customHeight="1" x14ac:dyDescent="0.25">
      <c r="A21" s="2" t="s">
        <v>25</v>
      </c>
      <c r="B21" s="9">
        <v>15</v>
      </c>
      <c r="C21" s="5" t="s">
        <v>26</v>
      </c>
    </row>
    <row r="22" spans="1:3" ht="15.75" customHeight="1" x14ac:dyDescent="0.25">
      <c r="A22" s="12" t="s">
        <v>27</v>
      </c>
      <c r="B22" s="9">
        <f>B19</f>
        <v>10</v>
      </c>
      <c r="C22" s="14" t="s">
        <v>28</v>
      </c>
    </row>
    <row r="23" spans="1:3" ht="7.5" customHeight="1" x14ac:dyDescent="0.25"/>
    <row r="24" spans="1:3" ht="21.75" customHeight="1" x14ac:dyDescent="0.25">
      <c r="A24" s="41" t="s">
        <v>29</v>
      </c>
      <c r="B24" s="42"/>
      <c r="C24" s="42"/>
    </row>
    <row r="25" spans="1:3" ht="15.75" customHeight="1" x14ac:dyDescent="0.25">
      <c r="A25" s="1" t="s">
        <v>3</v>
      </c>
      <c r="B25" s="1" t="s">
        <v>4</v>
      </c>
      <c r="C25" s="1" t="s">
        <v>5</v>
      </c>
    </row>
    <row r="26" spans="1:3" ht="15.75" customHeight="1" x14ac:dyDescent="0.25">
      <c r="A26" s="2" t="s">
        <v>30</v>
      </c>
      <c r="B26" s="3">
        <v>45</v>
      </c>
      <c r="C26" s="5" t="s">
        <v>31</v>
      </c>
    </row>
    <row r="27" spans="1:3" ht="15.75" customHeight="1" x14ac:dyDescent="0.25">
      <c r="A27" s="2" t="s">
        <v>32</v>
      </c>
      <c r="B27" s="3">
        <v>25</v>
      </c>
      <c r="C27" s="5" t="s">
        <v>33</v>
      </c>
    </row>
    <row r="28" spans="1:3" ht="15.75" customHeight="1" x14ac:dyDescent="0.25">
      <c r="A28" s="15" t="s">
        <v>34</v>
      </c>
      <c r="B28" s="17">
        <f>B26+B27</f>
        <v>70</v>
      </c>
      <c r="C28" s="18" t="s">
        <v>35</v>
      </c>
    </row>
    <row r="29" spans="1:3" ht="7.5" customHeight="1" x14ac:dyDescent="0.25"/>
    <row r="30" spans="1:3" ht="21.75" customHeight="1" x14ac:dyDescent="0.25">
      <c r="A30" s="45" t="s">
        <v>36</v>
      </c>
      <c r="B30" s="42"/>
      <c r="C30" s="42"/>
    </row>
    <row r="31" spans="1:3" ht="15.75" customHeight="1" x14ac:dyDescent="0.25">
      <c r="A31" s="1" t="s">
        <v>37</v>
      </c>
      <c r="B31" s="1" t="s">
        <v>38</v>
      </c>
      <c r="C31" s="1" t="s">
        <v>39</v>
      </c>
    </row>
    <row r="32" spans="1:3" ht="15.75" customHeight="1" x14ac:dyDescent="0.25">
      <c r="A32" s="2" t="s">
        <v>40</v>
      </c>
      <c r="B32" s="20">
        <v>2.625</v>
      </c>
      <c r="C32" s="5" t="s">
        <v>41</v>
      </c>
    </row>
    <row r="33" spans="1:3" ht="15.75" customHeight="1" x14ac:dyDescent="0.25">
      <c r="A33" s="2" t="s">
        <v>42</v>
      </c>
      <c r="B33" s="20">
        <v>1.875</v>
      </c>
      <c r="C33" s="5" t="s">
        <v>43</v>
      </c>
    </row>
    <row r="34" spans="1:3" ht="15.75" customHeight="1" x14ac:dyDescent="0.25">
      <c r="A34" s="2" t="s">
        <v>44</v>
      </c>
      <c r="B34" s="20">
        <v>2.625</v>
      </c>
      <c r="C34" s="5" t="s">
        <v>45</v>
      </c>
    </row>
    <row r="35" spans="1:3" ht="15.75" customHeight="1" x14ac:dyDescent="0.25">
      <c r="A35" s="2" t="s">
        <v>46</v>
      </c>
      <c r="B35" s="20">
        <v>3.125</v>
      </c>
      <c r="C35" s="5" t="s">
        <v>47</v>
      </c>
    </row>
    <row r="36" spans="1:3" ht="7.5" customHeight="1" x14ac:dyDescent="0.25"/>
    <row r="37" spans="1:3" ht="21.75" customHeight="1" x14ac:dyDescent="0.25">
      <c r="A37" s="41" t="s">
        <v>48</v>
      </c>
      <c r="B37" s="42"/>
      <c r="C37" s="42"/>
    </row>
    <row r="38" spans="1:3" ht="15.75" customHeight="1" x14ac:dyDescent="0.25">
      <c r="A38" s="1" t="s">
        <v>3</v>
      </c>
      <c r="B38" s="1" t="s">
        <v>4</v>
      </c>
      <c r="C38" s="1" t="s">
        <v>5</v>
      </c>
    </row>
    <row r="39" spans="1:3" ht="15.75" customHeight="1" x14ac:dyDescent="0.25">
      <c r="A39" s="2" t="s">
        <v>49</v>
      </c>
      <c r="B39" s="6">
        <v>0.15</v>
      </c>
      <c r="C39" s="5" t="s">
        <v>50</v>
      </c>
    </row>
    <row r="40" spans="1:3" ht="15.75" customHeight="1" x14ac:dyDescent="0.25">
      <c r="A40" s="2" t="s">
        <v>51</v>
      </c>
      <c r="B40" s="6">
        <v>0.25</v>
      </c>
      <c r="C40" s="5" t="s">
        <v>52</v>
      </c>
    </row>
    <row r="41" spans="1:3" ht="15.75" customHeight="1" x14ac:dyDescent="0.25">
      <c r="A41" s="2" t="s">
        <v>53</v>
      </c>
      <c r="B41" s="6">
        <v>0.3</v>
      </c>
      <c r="C41" s="5" t="s">
        <v>54</v>
      </c>
    </row>
    <row r="42" spans="1:3" ht="7.5" customHeight="1" x14ac:dyDescent="0.25"/>
    <row r="43" spans="1:3" ht="21.75" customHeight="1" x14ac:dyDescent="0.25">
      <c r="A43" s="41" t="s">
        <v>55</v>
      </c>
      <c r="B43" s="42"/>
      <c r="C43" s="42"/>
    </row>
    <row r="44" spans="1:3" ht="15.75" customHeight="1" x14ac:dyDescent="0.25">
      <c r="A44" s="2" t="s">
        <v>56</v>
      </c>
      <c r="B44" s="9">
        <v>200</v>
      </c>
      <c r="C44" s="5"/>
    </row>
    <row r="45" spans="1:3" ht="15.75" customHeight="1" x14ac:dyDescent="0.25">
      <c r="A45" s="2" t="s">
        <v>57</v>
      </c>
      <c r="B45" s="9">
        <v>200</v>
      </c>
      <c r="C45" s="5"/>
    </row>
    <row r="46" spans="1:3" ht="15.75" customHeight="1" x14ac:dyDescent="0.25">
      <c r="A46" s="2" t="s">
        <v>58</v>
      </c>
      <c r="B46" s="9">
        <v>150</v>
      </c>
      <c r="C46" s="5"/>
    </row>
    <row r="47" spans="1:3" ht="15.75" customHeight="1" x14ac:dyDescent="0.25">
      <c r="A47" s="2" t="s">
        <v>59</v>
      </c>
      <c r="B47" s="9">
        <v>350</v>
      </c>
      <c r="C47" s="5"/>
    </row>
    <row r="48" spans="1:3" ht="15.75" customHeight="1" x14ac:dyDescent="0.25">
      <c r="A48" s="2" t="s">
        <v>60</v>
      </c>
      <c r="B48" s="9">
        <v>450</v>
      </c>
      <c r="C48" s="5"/>
    </row>
    <row r="49" spans="1:3" ht="15.75" customHeight="1" x14ac:dyDescent="0.25"/>
    <row r="50" spans="1:3" ht="15.75" customHeight="1" x14ac:dyDescent="0.25">
      <c r="A50" s="38" t="s">
        <v>113</v>
      </c>
    </row>
    <row r="51" spans="1:3" ht="15.75" customHeight="1" x14ac:dyDescent="0.25">
      <c r="A51" s="38" t="s">
        <v>3</v>
      </c>
      <c r="B51" s="38" t="s">
        <v>4</v>
      </c>
      <c r="C51" s="38" t="s">
        <v>5</v>
      </c>
    </row>
    <row r="52" spans="1:3" ht="15.75" customHeight="1" x14ac:dyDescent="0.25">
      <c r="A52" t="s">
        <v>114</v>
      </c>
      <c r="B52" s="37">
        <v>200</v>
      </c>
      <c r="C52" t="s">
        <v>115</v>
      </c>
    </row>
    <row r="53" spans="1:3" ht="15.75" customHeight="1" x14ac:dyDescent="0.25">
      <c r="A53" t="s">
        <v>116</v>
      </c>
      <c r="B53" s="37">
        <f>(B22+B28)/(1-B12)</f>
        <v>145.45454545454544</v>
      </c>
      <c r="C53" t="s">
        <v>117</v>
      </c>
    </row>
    <row r="54" spans="1:3" ht="15.75" customHeight="1" x14ac:dyDescent="0.25">
      <c r="A54" t="s">
        <v>118</v>
      </c>
      <c r="B54" s="37">
        <f>(B22+B28)/(1-B12-B13)</f>
        <v>470.58823529411751</v>
      </c>
      <c r="C54" t="s">
        <v>119</v>
      </c>
    </row>
    <row r="55" spans="1:3" ht="15.75" customHeight="1" x14ac:dyDescent="0.25"/>
    <row r="56" spans="1:3" ht="15.75" customHeight="1" x14ac:dyDescent="0.25"/>
    <row r="57" spans="1:3" ht="15.75" customHeight="1" x14ac:dyDescent="0.25"/>
    <row r="58" spans="1:3" ht="15.75" customHeight="1" x14ac:dyDescent="0.25"/>
    <row r="59" spans="1:3" ht="15.75" customHeight="1" x14ac:dyDescent="0.25"/>
    <row r="60" spans="1:3" ht="15.75" customHeight="1" x14ac:dyDescent="0.25"/>
    <row r="61" spans="1:3" ht="15.75" customHeight="1" x14ac:dyDescent="0.25"/>
    <row r="62" spans="1:3" ht="15.75" customHeight="1" x14ac:dyDescent="0.25"/>
    <row r="63" spans="1:3" ht="15.75" customHeight="1" x14ac:dyDescent="0.25"/>
    <row r="64" spans="1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A43:C43"/>
    <mergeCell ref="A24:C24"/>
    <mergeCell ref="A1:C1"/>
    <mergeCell ref="A37:C37"/>
    <mergeCell ref="A8:C8"/>
    <mergeCell ref="A3:C3"/>
    <mergeCell ref="A30:C30"/>
    <mergeCell ref="A15:C15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4.42578125" defaultRowHeight="15" customHeight="1" x14ac:dyDescent="0.25"/>
  <cols>
    <col min="1" max="1" width="89.7109375" customWidth="1"/>
    <col min="2" max="2" width="12.42578125" customWidth="1"/>
    <col min="3" max="3" width="15.7109375" customWidth="1"/>
    <col min="4" max="4" width="12.42578125" customWidth="1"/>
    <col min="5" max="5" width="8" customWidth="1"/>
    <col min="6" max="9" width="6" customWidth="1"/>
    <col min="10" max="10" width="6.42578125" customWidth="1"/>
    <col min="11" max="11" width="6.28515625" customWidth="1"/>
    <col min="12" max="26" width="6.42578125" customWidth="1"/>
  </cols>
  <sheetData>
    <row r="1" spans="1:27" ht="31.5" customHeight="1" x14ac:dyDescent="0.25">
      <c r="A1" s="43" t="s">
        <v>61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7" ht="24" customHeight="1" x14ac:dyDescent="0.25">
      <c r="A2" s="47" t="s">
        <v>62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7" ht="21.75" customHeight="1" x14ac:dyDescent="0.25">
      <c r="A3" s="41" t="s">
        <v>63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7" ht="18" customHeight="1" x14ac:dyDescent="0.25">
      <c r="A4" s="4" t="s">
        <v>64</v>
      </c>
      <c r="B4" s="35">
        <v>750</v>
      </c>
      <c r="C4" s="35">
        <v>1000</v>
      </c>
      <c r="D4" s="35">
        <v>1250</v>
      </c>
      <c r="E4" s="35">
        <v>1500</v>
      </c>
      <c r="F4" s="35">
        <v>1800</v>
      </c>
      <c r="G4" s="35">
        <v>2100</v>
      </c>
      <c r="H4" s="35">
        <v>2400</v>
      </c>
      <c r="I4" s="35">
        <v>2700</v>
      </c>
      <c r="J4" s="35">
        <v>3000</v>
      </c>
      <c r="K4" s="35">
        <v>3300</v>
      </c>
      <c r="L4" s="35">
        <v>3600</v>
      </c>
      <c r="M4" s="35">
        <v>4000</v>
      </c>
      <c r="N4" s="35">
        <v>4400</v>
      </c>
      <c r="O4" s="35">
        <v>4800</v>
      </c>
      <c r="P4" s="35">
        <v>5200</v>
      </c>
      <c r="Q4" s="35">
        <v>5600</v>
      </c>
      <c r="R4" s="35">
        <v>6000</v>
      </c>
      <c r="S4" s="35">
        <v>6499</v>
      </c>
      <c r="T4" s="36">
        <v>6999</v>
      </c>
      <c r="U4" s="36">
        <v>7499</v>
      </c>
      <c r="V4" s="36">
        <v>7999</v>
      </c>
      <c r="W4" s="36">
        <v>8499</v>
      </c>
      <c r="X4" s="36">
        <v>8999</v>
      </c>
      <c r="Y4" s="36">
        <v>9499</v>
      </c>
      <c r="Z4" s="36">
        <v>9999</v>
      </c>
      <c r="AA4" s="36">
        <v>10000</v>
      </c>
    </row>
    <row r="5" spans="1:27" ht="15.75" customHeight="1" x14ac:dyDescent="0.25">
      <c r="A5" s="7" t="s">
        <v>65</v>
      </c>
      <c r="B5" s="8">
        <v>276</v>
      </c>
      <c r="C5" s="8">
        <v>311</v>
      </c>
      <c r="D5" s="8">
        <v>346</v>
      </c>
      <c r="E5" s="8">
        <v>381</v>
      </c>
      <c r="F5" s="8">
        <v>416</v>
      </c>
      <c r="G5" s="8">
        <v>451</v>
      </c>
      <c r="H5" s="8">
        <v>506</v>
      </c>
      <c r="I5" s="8">
        <v>561</v>
      </c>
      <c r="J5" s="8">
        <v>616</v>
      </c>
      <c r="K5" s="8">
        <v>671</v>
      </c>
      <c r="L5" s="8">
        <v>726</v>
      </c>
      <c r="M5" s="8">
        <v>781</v>
      </c>
      <c r="N5" s="8">
        <v>836</v>
      </c>
      <c r="O5" s="8">
        <v>891</v>
      </c>
      <c r="P5" s="8">
        <v>946</v>
      </c>
      <c r="Q5" s="8">
        <v>1001</v>
      </c>
      <c r="R5" s="8">
        <v>1056</v>
      </c>
      <c r="S5" s="8">
        <v>1056</v>
      </c>
      <c r="T5" s="10">
        <v>1170</v>
      </c>
      <c r="U5" s="10">
        <v>1350</v>
      </c>
      <c r="V5" s="10">
        <v>1550</v>
      </c>
      <c r="W5" s="10">
        <v>1750</v>
      </c>
      <c r="X5" s="10">
        <v>1950</v>
      </c>
      <c r="Y5" s="10">
        <v>2150</v>
      </c>
      <c r="Z5" s="10">
        <v>2350</v>
      </c>
      <c r="AA5" s="10">
        <v>2550</v>
      </c>
    </row>
    <row r="6" spans="1:27" ht="12.75" customHeight="1" x14ac:dyDescent="0.25">
      <c r="A6" s="11" t="s">
        <v>66</v>
      </c>
      <c r="B6" s="13">
        <f t="shared" ref="B6:AA6" si="0">IF(B4&gt;0,B5/B4,"")</f>
        <v>0.36799999999999999</v>
      </c>
      <c r="C6" s="13">
        <f t="shared" si="0"/>
        <v>0.311</v>
      </c>
      <c r="D6" s="13">
        <f t="shared" si="0"/>
        <v>0.27679999999999999</v>
      </c>
      <c r="E6" s="13">
        <f t="shared" si="0"/>
        <v>0.254</v>
      </c>
      <c r="F6" s="13">
        <f t="shared" si="0"/>
        <v>0.2311111111111111</v>
      </c>
      <c r="G6" s="13">
        <f t="shared" si="0"/>
        <v>0.21476190476190476</v>
      </c>
      <c r="H6" s="13">
        <f t="shared" si="0"/>
        <v>0.21083333333333334</v>
      </c>
      <c r="I6" s="13">
        <f t="shared" si="0"/>
        <v>0.20777777777777778</v>
      </c>
      <c r="J6" s="13">
        <f t="shared" si="0"/>
        <v>0.20533333333333334</v>
      </c>
      <c r="K6" s="13">
        <f t="shared" si="0"/>
        <v>0.20333333333333334</v>
      </c>
      <c r="L6" s="13">
        <f t="shared" si="0"/>
        <v>0.20166666666666666</v>
      </c>
      <c r="M6" s="13">
        <f t="shared" si="0"/>
        <v>0.19525000000000001</v>
      </c>
      <c r="N6" s="13">
        <f t="shared" si="0"/>
        <v>0.19</v>
      </c>
      <c r="O6" s="13">
        <f t="shared" si="0"/>
        <v>0.18562500000000001</v>
      </c>
      <c r="P6" s="13">
        <f t="shared" si="0"/>
        <v>0.18192307692307691</v>
      </c>
      <c r="Q6" s="13">
        <f t="shared" si="0"/>
        <v>0.17874999999999999</v>
      </c>
      <c r="R6" s="13">
        <f t="shared" si="0"/>
        <v>0.17599999999999999</v>
      </c>
      <c r="S6" s="13">
        <f t="shared" si="0"/>
        <v>0.16248653639021388</v>
      </c>
      <c r="T6" s="16">
        <f t="shared" si="0"/>
        <v>0.16716673810544364</v>
      </c>
      <c r="U6" s="16">
        <f t="shared" si="0"/>
        <v>0.18002400320042672</v>
      </c>
      <c r="V6" s="16">
        <f t="shared" si="0"/>
        <v>0.19377422177772222</v>
      </c>
      <c r="W6" s="16">
        <f t="shared" si="0"/>
        <v>0.20590657724438169</v>
      </c>
      <c r="X6" s="16">
        <f t="shared" si="0"/>
        <v>0.21669074341593511</v>
      </c>
      <c r="Y6" s="16">
        <f t="shared" si="0"/>
        <v>0.22633961469628383</v>
      </c>
      <c r="Z6" s="16">
        <f t="shared" si="0"/>
        <v>0.23502350235023503</v>
      </c>
      <c r="AA6" s="16">
        <f t="shared" si="0"/>
        <v>0.255</v>
      </c>
    </row>
    <row r="7" spans="1:27" ht="15.75" customHeight="1" x14ac:dyDescent="0.25">
      <c r="A7" s="19" t="s">
        <v>67</v>
      </c>
      <c r="B7" s="21">
        <f>ROUND(B4/1000*Assumptions!$B$32,1)</f>
        <v>2</v>
      </c>
      <c r="C7" s="21">
        <f>ROUND(C4/1000*Assumptions!$B$32,1)</f>
        <v>2.6</v>
      </c>
      <c r="D7" s="21">
        <f>ROUND(D4/1000*Assumptions!$B$32,1)</f>
        <v>3.3</v>
      </c>
      <c r="E7" s="21">
        <f>ROUND(E4/1000*Assumptions!$B$32,1)</f>
        <v>3.9</v>
      </c>
      <c r="F7" s="21">
        <f>ROUND(F4/1000*Assumptions!$B$32,1)</f>
        <v>4.7</v>
      </c>
      <c r="G7" s="21">
        <f>ROUND(G4/1000*Assumptions!$B$32,1)</f>
        <v>5.5</v>
      </c>
      <c r="H7" s="21">
        <f>ROUND(H4/1000*Assumptions!$B$32,1)</f>
        <v>6.3</v>
      </c>
      <c r="I7" s="21">
        <f>ROUND(I4/1000*Assumptions!$B$32,1)</f>
        <v>7.1</v>
      </c>
      <c r="J7" s="21">
        <f>ROUND(J4/1000*Assumptions!$B$32,1)</f>
        <v>7.9</v>
      </c>
      <c r="K7" s="21">
        <f>ROUND(K4/1000*Assumptions!$B$32,1)</f>
        <v>8.6999999999999993</v>
      </c>
      <c r="L7" s="21">
        <f>ROUND(L4/1000*Assumptions!$B$32,1)</f>
        <v>9.5</v>
      </c>
      <c r="M7" s="21">
        <f>ROUND(M4/1000*Assumptions!$B$32,1)</f>
        <v>10.5</v>
      </c>
      <c r="N7" s="21">
        <f>ROUND(N4/1000*Assumptions!$B$32,1)</f>
        <v>11.6</v>
      </c>
      <c r="O7" s="21">
        <f>ROUND(O4/1000*Assumptions!$B$32,1)</f>
        <v>12.6</v>
      </c>
      <c r="P7" s="21">
        <f>ROUND(P4/1000*Assumptions!$B$32,1)</f>
        <v>13.7</v>
      </c>
      <c r="Q7" s="21">
        <f>ROUND(Q4/1000*Assumptions!$B$32,1)</f>
        <v>14.7</v>
      </c>
      <c r="R7" s="21">
        <f>ROUND(R4/1000*Assumptions!$B$32,1)</f>
        <v>15.8</v>
      </c>
      <c r="S7" s="21">
        <f>ROUND(S4/1000*Assumptions!$B$32,1)</f>
        <v>17.100000000000001</v>
      </c>
      <c r="T7" s="22">
        <f>ROUND(T4/1000*Assumptions!$B$32,1)</f>
        <v>18.399999999999999</v>
      </c>
      <c r="U7" s="22">
        <f>ROUND(U4/1000*Assumptions!$B$32,1)</f>
        <v>19.7</v>
      </c>
      <c r="V7" s="22">
        <f>ROUND(V4/1000*Assumptions!$B$32,1)</f>
        <v>21</v>
      </c>
      <c r="W7" s="22">
        <f>ROUND(W4/1000*Assumptions!$B$32,1)</f>
        <v>22.3</v>
      </c>
      <c r="X7" s="22">
        <f>ROUND(X4/1000*Assumptions!$B$32,1)</f>
        <v>23.6</v>
      </c>
      <c r="Y7" s="22">
        <f>ROUND(Y4/1000*Assumptions!$B$32,1)</f>
        <v>24.9</v>
      </c>
      <c r="Z7" s="22">
        <f>ROUND(Z4/1000*Assumptions!$B$32,1)</f>
        <v>26.2</v>
      </c>
      <c r="AA7" s="22">
        <f>ROUND(AA4/1000*Assumptions!$B$32,1)</f>
        <v>26.3</v>
      </c>
    </row>
    <row r="8" spans="1:27" ht="7.5" customHeight="1" x14ac:dyDescent="0.25"/>
    <row r="9" spans="1:27" ht="21.75" customHeight="1" x14ac:dyDescent="0.25">
      <c r="A9" s="41" t="s">
        <v>68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7" ht="18" customHeight="1" x14ac:dyDescent="0.25">
      <c r="A10" s="4" t="s">
        <v>64</v>
      </c>
      <c r="B10" s="35">
        <v>750</v>
      </c>
      <c r="C10" s="35">
        <v>1000</v>
      </c>
      <c r="D10" s="35">
        <v>1250</v>
      </c>
      <c r="E10" s="35">
        <v>1500</v>
      </c>
      <c r="F10" s="35">
        <v>1800</v>
      </c>
      <c r="G10" s="35">
        <v>2100</v>
      </c>
      <c r="H10" s="35">
        <v>2400</v>
      </c>
      <c r="I10" s="35">
        <v>2700</v>
      </c>
      <c r="J10" s="35">
        <v>3000</v>
      </c>
      <c r="K10" s="35">
        <v>3300</v>
      </c>
      <c r="L10" s="35">
        <v>3600</v>
      </c>
      <c r="M10" s="35">
        <v>4000</v>
      </c>
      <c r="N10" s="35">
        <v>4400</v>
      </c>
      <c r="O10" s="35">
        <v>4800</v>
      </c>
      <c r="P10" s="35">
        <v>5200</v>
      </c>
      <c r="Q10" s="35">
        <v>5600</v>
      </c>
      <c r="R10" s="35">
        <v>6000</v>
      </c>
      <c r="S10" s="35">
        <v>6499</v>
      </c>
      <c r="T10" s="36">
        <v>6999</v>
      </c>
      <c r="U10" s="36">
        <v>7499</v>
      </c>
      <c r="V10" s="36">
        <v>7999</v>
      </c>
      <c r="W10" s="36">
        <v>8499</v>
      </c>
      <c r="X10" s="36">
        <v>8999</v>
      </c>
      <c r="Y10" s="36">
        <v>9499</v>
      </c>
      <c r="Z10" s="36">
        <v>9999</v>
      </c>
      <c r="AA10" s="36">
        <v>10000</v>
      </c>
    </row>
    <row r="11" spans="1:27" ht="15.75" customHeight="1" x14ac:dyDescent="0.25">
      <c r="A11" s="7" t="s">
        <v>69</v>
      </c>
      <c r="B11" s="8">
        <v>176</v>
      </c>
      <c r="C11" s="8">
        <v>211</v>
      </c>
      <c r="D11" s="8">
        <v>246</v>
      </c>
      <c r="E11" s="8">
        <v>281</v>
      </c>
      <c r="F11" s="8">
        <v>316</v>
      </c>
      <c r="G11" s="8">
        <v>351</v>
      </c>
      <c r="H11" s="8">
        <v>381</v>
      </c>
      <c r="I11" s="8">
        <v>436</v>
      </c>
      <c r="J11" s="8">
        <v>491</v>
      </c>
      <c r="K11" s="8">
        <v>546</v>
      </c>
      <c r="L11" s="8">
        <v>601</v>
      </c>
      <c r="M11" s="8">
        <v>656</v>
      </c>
      <c r="N11" s="8">
        <v>711</v>
      </c>
      <c r="O11" s="8">
        <v>766</v>
      </c>
      <c r="P11" s="8">
        <v>821</v>
      </c>
      <c r="Q11" s="8">
        <v>876</v>
      </c>
      <c r="R11" s="8">
        <v>931</v>
      </c>
      <c r="S11" s="8">
        <v>931</v>
      </c>
      <c r="T11" s="10">
        <v>1045</v>
      </c>
      <c r="U11" s="10">
        <v>1200</v>
      </c>
      <c r="V11" s="10">
        <v>1375</v>
      </c>
      <c r="W11" s="10">
        <v>1550</v>
      </c>
      <c r="X11" s="10">
        <v>1725</v>
      </c>
      <c r="Y11" s="10">
        <v>1900</v>
      </c>
      <c r="Z11" s="10">
        <v>2075</v>
      </c>
      <c r="AA11" s="10">
        <v>2250</v>
      </c>
    </row>
    <row r="12" spans="1:27" ht="15.75" customHeight="1" x14ac:dyDescent="0.25">
      <c r="A12" s="23" t="s">
        <v>70</v>
      </c>
      <c r="B12" s="24">
        <v>149</v>
      </c>
      <c r="C12" s="24">
        <v>179</v>
      </c>
      <c r="D12" s="24">
        <v>209</v>
      </c>
      <c r="E12" s="24">
        <v>239</v>
      </c>
      <c r="F12" s="24">
        <v>268</v>
      </c>
      <c r="G12" s="24">
        <v>298</v>
      </c>
      <c r="H12" s="24">
        <v>324</v>
      </c>
      <c r="I12" s="24">
        <v>370</v>
      </c>
      <c r="J12" s="24">
        <v>417</v>
      </c>
      <c r="K12" s="24">
        <v>464</v>
      </c>
      <c r="L12" s="24">
        <v>511</v>
      </c>
      <c r="M12" s="24">
        <v>557</v>
      </c>
      <c r="N12" s="24">
        <v>604</v>
      </c>
      <c r="O12" s="24">
        <v>651</v>
      </c>
      <c r="P12" s="24">
        <v>698</v>
      </c>
      <c r="Q12" s="24">
        <v>744</v>
      </c>
      <c r="R12" s="24">
        <v>791</v>
      </c>
      <c r="S12" s="24">
        <v>791</v>
      </c>
      <c r="T12" s="10">
        <v>888</v>
      </c>
      <c r="U12" s="10">
        <v>1020</v>
      </c>
      <c r="V12" s="10">
        <v>1170</v>
      </c>
      <c r="W12" s="10">
        <v>1320</v>
      </c>
      <c r="X12" s="10">
        <v>1470</v>
      </c>
      <c r="Y12" s="10">
        <v>1615</v>
      </c>
      <c r="Z12" s="10">
        <v>1760</v>
      </c>
      <c r="AA12" s="10">
        <v>1910</v>
      </c>
    </row>
    <row r="13" spans="1:27" ht="15.75" customHeight="1" x14ac:dyDescent="0.25">
      <c r="A13" s="23" t="s">
        <v>71</v>
      </c>
      <c r="B13" s="24">
        <v>132</v>
      </c>
      <c r="C13" s="24">
        <v>158</v>
      </c>
      <c r="D13" s="24">
        <v>184</v>
      </c>
      <c r="E13" s="24">
        <v>211</v>
      </c>
      <c r="F13" s="24">
        <v>237</v>
      </c>
      <c r="G13" s="24">
        <v>263</v>
      </c>
      <c r="H13" s="24">
        <v>286</v>
      </c>
      <c r="I13" s="24">
        <v>327</v>
      </c>
      <c r="J13" s="24">
        <v>368</v>
      </c>
      <c r="K13" s="24">
        <v>409</v>
      </c>
      <c r="L13" s="24">
        <v>451</v>
      </c>
      <c r="M13" s="24">
        <v>492</v>
      </c>
      <c r="N13" s="24">
        <v>533</v>
      </c>
      <c r="O13" s="24">
        <v>574</v>
      </c>
      <c r="P13" s="24">
        <v>616</v>
      </c>
      <c r="Q13" s="24">
        <v>657</v>
      </c>
      <c r="R13" s="24">
        <v>698</v>
      </c>
      <c r="S13" s="24">
        <v>698</v>
      </c>
      <c r="T13" s="10">
        <v>784</v>
      </c>
      <c r="U13" s="10">
        <v>900</v>
      </c>
      <c r="V13" s="10">
        <v>1030</v>
      </c>
      <c r="W13" s="10">
        <v>1160</v>
      </c>
      <c r="X13" s="10">
        <v>1290</v>
      </c>
      <c r="Y13" s="10">
        <v>1425</v>
      </c>
      <c r="Z13" s="10">
        <v>1560</v>
      </c>
      <c r="AA13" s="10">
        <v>1690</v>
      </c>
    </row>
    <row r="14" spans="1:27" ht="15.75" customHeight="1" x14ac:dyDescent="0.25">
      <c r="A14" s="25" t="s">
        <v>72</v>
      </c>
      <c r="B14" s="26">
        <v>123</v>
      </c>
      <c r="C14" s="26">
        <v>147</v>
      </c>
      <c r="D14" s="26">
        <v>172</v>
      </c>
      <c r="E14" s="26">
        <v>196</v>
      </c>
      <c r="F14" s="26">
        <v>221</v>
      </c>
      <c r="G14" s="26">
        <v>245</v>
      </c>
      <c r="H14" s="26">
        <v>266</v>
      </c>
      <c r="I14" s="26">
        <v>305</v>
      </c>
      <c r="J14" s="26">
        <v>343</v>
      </c>
      <c r="K14" s="26">
        <v>382</v>
      </c>
      <c r="L14" s="26">
        <v>420</v>
      </c>
      <c r="M14" s="26">
        <v>459</v>
      </c>
      <c r="N14" s="26">
        <v>497</v>
      </c>
      <c r="O14" s="26">
        <v>536</v>
      </c>
      <c r="P14" s="26">
        <v>574</v>
      </c>
      <c r="Q14" s="26">
        <v>613</v>
      </c>
      <c r="R14" s="26">
        <v>651</v>
      </c>
      <c r="S14" s="26">
        <v>651</v>
      </c>
      <c r="T14" s="10">
        <v>732</v>
      </c>
      <c r="U14" s="10">
        <v>840</v>
      </c>
      <c r="V14" s="10">
        <v>960</v>
      </c>
      <c r="W14" s="10">
        <v>1090</v>
      </c>
      <c r="X14" s="10">
        <v>1210</v>
      </c>
      <c r="Y14" s="10">
        <v>1330</v>
      </c>
      <c r="Z14" s="10">
        <v>1450</v>
      </c>
      <c r="AA14" s="10">
        <v>1580</v>
      </c>
    </row>
    <row r="15" spans="1:27" ht="12.75" customHeight="1" x14ac:dyDescent="0.25">
      <c r="A15" s="27" t="s">
        <v>73</v>
      </c>
      <c r="B15" s="28">
        <f t="shared" ref="B15:AA15" si="1">IF(B10&gt;0,B14/B10,"")</f>
        <v>0.16400000000000001</v>
      </c>
      <c r="C15" s="28">
        <f t="shared" si="1"/>
        <v>0.14699999999999999</v>
      </c>
      <c r="D15" s="28">
        <f t="shared" si="1"/>
        <v>0.1376</v>
      </c>
      <c r="E15" s="28">
        <f t="shared" si="1"/>
        <v>0.13066666666666665</v>
      </c>
      <c r="F15" s="28">
        <f t="shared" si="1"/>
        <v>0.12277777777777778</v>
      </c>
      <c r="G15" s="28">
        <f t="shared" si="1"/>
        <v>0.11666666666666667</v>
      </c>
      <c r="H15" s="28">
        <f t="shared" si="1"/>
        <v>0.11083333333333334</v>
      </c>
      <c r="I15" s="28">
        <f t="shared" si="1"/>
        <v>0.11296296296296296</v>
      </c>
      <c r="J15" s="28">
        <f t="shared" si="1"/>
        <v>0.11433333333333333</v>
      </c>
      <c r="K15" s="28">
        <f t="shared" si="1"/>
        <v>0.11575757575757575</v>
      </c>
      <c r="L15" s="28">
        <f t="shared" si="1"/>
        <v>0.11666666666666667</v>
      </c>
      <c r="M15" s="28">
        <f t="shared" si="1"/>
        <v>0.11475</v>
      </c>
      <c r="N15" s="28">
        <f t="shared" si="1"/>
        <v>0.11295454545454546</v>
      </c>
      <c r="O15" s="28">
        <f t="shared" si="1"/>
        <v>0.11166666666666666</v>
      </c>
      <c r="P15" s="28">
        <f t="shared" si="1"/>
        <v>0.11038461538461539</v>
      </c>
      <c r="Q15" s="28">
        <f t="shared" si="1"/>
        <v>0.10946428571428571</v>
      </c>
      <c r="R15" s="28">
        <f t="shared" si="1"/>
        <v>0.1085</v>
      </c>
      <c r="S15" s="28">
        <f t="shared" si="1"/>
        <v>0.10016925680873981</v>
      </c>
      <c r="T15" s="16">
        <f t="shared" si="1"/>
        <v>0.10458636948135448</v>
      </c>
      <c r="U15" s="16">
        <f t="shared" si="1"/>
        <v>0.11201493532470996</v>
      </c>
      <c r="V15" s="16">
        <f t="shared" si="1"/>
        <v>0.12001500187523441</v>
      </c>
      <c r="W15" s="16">
        <f t="shared" si="1"/>
        <v>0.12825038239792916</v>
      </c>
      <c r="X15" s="16">
        <f t="shared" si="1"/>
        <v>0.1344593843760418</v>
      </c>
      <c r="Y15" s="16">
        <f t="shared" si="1"/>
        <v>0.14001473839351511</v>
      </c>
      <c r="Z15" s="16">
        <f t="shared" si="1"/>
        <v>0.14501450145014502</v>
      </c>
      <c r="AA15" s="16">
        <f t="shared" si="1"/>
        <v>0.158</v>
      </c>
    </row>
    <row r="16" spans="1:27" ht="15.75" customHeight="1" x14ac:dyDescent="0.25">
      <c r="A16" s="19" t="s">
        <v>67</v>
      </c>
      <c r="B16" s="21">
        <f>ROUND(B10/1000*Assumptions!$B$33,1)</f>
        <v>1.4</v>
      </c>
      <c r="C16" s="21">
        <f>ROUND(C10/1000*Assumptions!$B$33,1)</f>
        <v>1.9</v>
      </c>
      <c r="D16" s="21">
        <f>ROUND(D10/1000*Assumptions!$B$33,1)</f>
        <v>2.2999999999999998</v>
      </c>
      <c r="E16" s="21">
        <f>ROUND(E10/1000*Assumptions!$B$33,1)</f>
        <v>2.8</v>
      </c>
      <c r="F16" s="21">
        <f>ROUND(F10/1000*Assumptions!$B$33,1)</f>
        <v>3.4</v>
      </c>
      <c r="G16" s="21">
        <f>ROUND(G10/1000*Assumptions!$B$33,1)</f>
        <v>3.9</v>
      </c>
      <c r="H16" s="21">
        <f>ROUND(H10/1000*Assumptions!$B$33,1)</f>
        <v>4.5</v>
      </c>
      <c r="I16" s="21">
        <f>ROUND(I10/1000*Assumptions!$B$33,1)</f>
        <v>5.0999999999999996</v>
      </c>
      <c r="J16" s="21">
        <f>ROUND(J10/1000*Assumptions!$B$33,1)</f>
        <v>5.6</v>
      </c>
      <c r="K16" s="21">
        <f>ROUND(K10/1000*Assumptions!$B$33,1)</f>
        <v>6.2</v>
      </c>
      <c r="L16" s="21">
        <f>ROUND(L10/1000*Assumptions!$B$33,1)</f>
        <v>6.8</v>
      </c>
      <c r="M16" s="21">
        <f>ROUND(M10/1000*Assumptions!$B$33,1)</f>
        <v>7.5</v>
      </c>
      <c r="N16" s="21">
        <f>ROUND(N10/1000*Assumptions!$B$33,1)</f>
        <v>8.3000000000000007</v>
      </c>
      <c r="O16" s="21">
        <f>ROUND(O10/1000*Assumptions!$B$33,1)</f>
        <v>9</v>
      </c>
      <c r="P16" s="21">
        <f>ROUND(P10/1000*Assumptions!$B$33,1)</f>
        <v>9.8000000000000007</v>
      </c>
      <c r="Q16" s="21">
        <f>ROUND(Q10/1000*Assumptions!$B$33,1)</f>
        <v>10.5</v>
      </c>
      <c r="R16" s="21">
        <f>ROUND(R10/1000*Assumptions!$B$33,1)</f>
        <v>11.3</v>
      </c>
      <c r="S16" s="21">
        <f>ROUND(S10/1000*Assumptions!$B$33,1)</f>
        <v>12.2</v>
      </c>
      <c r="T16" s="22">
        <f>ROUND(T10/1000*Assumptions!$B$33,1)</f>
        <v>13.1</v>
      </c>
      <c r="U16" s="22">
        <f>ROUND(U10/1000*Assumptions!$B$33,1)</f>
        <v>14.1</v>
      </c>
      <c r="V16" s="22">
        <f>ROUND(V10/1000*Assumptions!$B$33,1)</f>
        <v>15</v>
      </c>
      <c r="W16" s="22">
        <f>ROUND(W10/1000*Assumptions!$B$33,1)</f>
        <v>15.9</v>
      </c>
      <c r="X16" s="22">
        <f>ROUND(X10/1000*Assumptions!$B$33,1)</f>
        <v>16.899999999999999</v>
      </c>
      <c r="Y16" s="22">
        <f>ROUND(Y10/1000*Assumptions!$B$33,1)</f>
        <v>17.8</v>
      </c>
      <c r="Z16" s="22">
        <f>ROUND(Z10/1000*Assumptions!$B$33,1)</f>
        <v>18.7</v>
      </c>
      <c r="AA16" s="22">
        <f>ROUND(AA10/1000*Assumptions!$B$33,1)</f>
        <v>18.8</v>
      </c>
    </row>
    <row r="17" spans="1:27" ht="7.5" customHeight="1" x14ac:dyDescent="0.25"/>
    <row r="18" spans="1:27" ht="21.75" customHeight="1" x14ac:dyDescent="0.25">
      <c r="A18" s="41" t="s">
        <v>74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7" ht="18" customHeight="1" x14ac:dyDescent="0.25">
      <c r="A19" s="4" t="s">
        <v>64</v>
      </c>
      <c r="B19" s="35">
        <v>750</v>
      </c>
      <c r="C19" s="35">
        <v>1000</v>
      </c>
      <c r="D19" s="35">
        <v>1250</v>
      </c>
      <c r="E19" s="35">
        <v>1500</v>
      </c>
      <c r="F19" s="35">
        <v>1800</v>
      </c>
      <c r="G19" s="35">
        <v>2100</v>
      </c>
      <c r="H19" s="35">
        <v>2400</v>
      </c>
      <c r="I19" s="35">
        <v>2700</v>
      </c>
      <c r="J19" s="35">
        <v>3000</v>
      </c>
      <c r="K19" s="35">
        <v>3300</v>
      </c>
      <c r="L19" s="35">
        <v>3600</v>
      </c>
      <c r="M19" s="35">
        <v>4000</v>
      </c>
      <c r="N19" s="35">
        <v>4400</v>
      </c>
      <c r="O19" s="35">
        <v>4800</v>
      </c>
      <c r="P19" s="35">
        <v>5200</v>
      </c>
      <c r="Q19" s="35">
        <v>5600</v>
      </c>
      <c r="R19" s="35">
        <v>6000</v>
      </c>
      <c r="S19" s="35">
        <v>6499</v>
      </c>
      <c r="T19" s="36">
        <v>6999</v>
      </c>
      <c r="U19" s="36">
        <v>7499</v>
      </c>
      <c r="V19" s="36">
        <v>7999</v>
      </c>
      <c r="W19" s="36">
        <v>8499</v>
      </c>
      <c r="X19" s="36">
        <v>8999</v>
      </c>
      <c r="Y19" s="36">
        <v>9499</v>
      </c>
      <c r="Z19" s="36">
        <v>9999</v>
      </c>
      <c r="AA19" s="36">
        <v>10000</v>
      </c>
    </row>
    <row r="20" spans="1:27" ht="15.75" customHeight="1" x14ac:dyDescent="0.25">
      <c r="A20" s="7" t="s">
        <v>75</v>
      </c>
      <c r="B20" s="8">
        <v>351</v>
      </c>
      <c r="C20" s="8">
        <v>386</v>
      </c>
      <c r="D20" s="8">
        <v>421</v>
      </c>
      <c r="E20" s="8">
        <v>456</v>
      </c>
      <c r="F20" s="8">
        <v>491</v>
      </c>
      <c r="G20" s="8">
        <v>526</v>
      </c>
      <c r="H20" s="8">
        <v>581</v>
      </c>
      <c r="I20" s="8">
        <v>636</v>
      </c>
      <c r="J20" s="8">
        <v>691</v>
      </c>
      <c r="K20" s="8">
        <v>746</v>
      </c>
      <c r="L20" s="8">
        <v>801</v>
      </c>
      <c r="M20" s="8">
        <v>856</v>
      </c>
      <c r="N20" s="8">
        <v>911</v>
      </c>
      <c r="O20" s="8">
        <v>966</v>
      </c>
      <c r="P20" s="8">
        <v>1021</v>
      </c>
      <c r="Q20" s="8">
        <v>1076</v>
      </c>
      <c r="R20" s="8">
        <v>1131</v>
      </c>
      <c r="S20" s="8">
        <v>1131</v>
      </c>
      <c r="T20" s="10">
        <v>1181</v>
      </c>
      <c r="U20" s="10">
        <v>1425</v>
      </c>
      <c r="V20" s="10">
        <v>1625</v>
      </c>
      <c r="W20" s="10">
        <v>1825</v>
      </c>
      <c r="X20" s="10">
        <v>2025</v>
      </c>
      <c r="Y20" s="10">
        <v>2225</v>
      </c>
      <c r="Z20" s="10">
        <v>2425</v>
      </c>
      <c r="AA20" s="10">
        <v>2625</v>
      </c>
    </row>
    <row r="21" spans="1:27" ht="12.75" customHeight="1" x14ac:dyDescent="0.25">
      <c r="A21" s="11" t="s">
        <v>66</v>
      </c>
      <c r="B21" s="13">
        <f t="shared" ref="B21:AA21" si="2">IF(B19&gt;0,B20/B19,"")</f>
        <v>0.46800000000000003</v>
      </c>
      <c r="C21" s="13">
        <f t="shared" si="2"/>
        <v>0.38600000000000001</v>
      </c>
      <c r="D21" s="13">
        <f t="shared" si="2"/>
        <v>0.33679999999999999</v>
      </c>
      <c r="E21" s="13">
        <f t="shared" si="2"/>
        <v>0.30399999999999999</v>
      </c>
      <c r="F21" s="13">
        <f t="shared" si="2"/>
        <v>0.27277777777777779</v>
      </c>
      <c r="G21" s="13">
        <f t="shared" si="2"/>
        <v>0.25047619047619046</v>
      </c>
      <c r="H21" s="13">
        <f t="shared" si="2"/>
        <v>0.24208333333333334</v>
      </c>
      <c r="I21" s="13">
        <f t="shared" si="2"/>
        <v>0.23555555555555555</v>
      </c>
      <c r="J21" s="13">
        <f t="shared" si="2"/>
        <v>0.23033333333333333</v>
      </c>
      <c r="K21" s="13">
        <f t="shared" si="2"/>
        <v>0.22606060606060607</v>
      </c>
      <c r="L21" s="13">
        <f t="shared" si="2"/>
        <v>0.2225</v>
      </c>
      <c r="M21" s="13">
        <f t="shared" si="2"/>
        <v>0.214</v>
      </c>
      <c r="N21" s="13">
        <f t="shared" si="2"/>
        <v>0.20704545454545453</v>
      </c>
      <c r="O21" s="13">
        <f t="shared" si="2"/>
        <v>0.20125000000000001</v>
      </c>
      <c r="P21" s="13">
        <f t="shared" si="2"/>
        <v>0.19634615384615384</v>
      </c>
      <c r="Q21" s="13">
        <f t="shared" si="2"/>
        <v>0.19214285714285714</v>
      </c>
      <c r="R21" s="13">
        <f t="shared" si="2"/>
        <v>0.1885</v>
      </c>
      <c r="S21" s="13">
        <f t="shared" si="2"/>
        <v>0.17402677334974612</v>
      </c>
      <c r="T21" s="16">
        <f t="shared" si="2"/>
        <v>0.16873839119874268</v>
      </c>
      <c r="U21" s="16">
        <f t="shared" si="2"/>
        <v>0.19002533671156155</v>
      </c>
      <c r="V21" s="16">
        <f t="shared" si="2"/>
        <v>0.20315039379922489</v>
      </c>
      <c r="W21" s="16">
        <f t="shared" si="2"/>
        <v>0.21473114484056949</v>
      </c>
      <c r="X21" s="16">
        <f t="shared" si="2"/>
        <v>0.22502500277808646</v>
      </c>
      <c r="Y21" s="16">
        <f t="shared" si="2"/>
        <v>0.23423518265080534</v>
      </c>
      <c r="Z21" s="16">
        <f t="shared" si="2"/>
        <v>0.24252425242524253</v>
      </c>
      <c r="AA21" s="16">
        <f t="shared" si="2"/>
        <v>0.26250000000000001</v>
      </c>
    </row>
    <row r="22" spans="1:27" ht="15.75" customHeight="1" x14ac:dyDescent="0.25">
      <c r="A22" s="19" t="s">
        <v>67</v>
      </c>
      <c r="B22" s="21">
        <f>ROUND(B19/1000*Assumptions!$B$34,1)</f>
        <v>2</v>
      </c>
      <c r="C22" s="21">
        <f>ROUND(C19/1000*Assumptions!$B$34,1)</f>
        <v>2.6</v>
      </c>
      <c r="D22" s="21">
        <f>ROUND(D19/1000*Assumptions!$B$34,1)</f>
        <v>3.3</v>
      </c>
      <c r="E22" s="21">
        <f>ROUND(E19/1000*Assumptions!$B$34,1)</f>
        <v>3.9</v>
      </c>
      <c r="F22" s="21">
        <f>ROUND(F19/1000*Assumptions!$B$34,1)</f>
        <v>4.7</v>
      </c>
      <c r="G22" s="21">
        <f>ROUND(G19/1000*Assumptions!$B$34,1)</f>
        <v>5.5</v>
      </c>
      <c r="H22" s="21">
        <f>ROUND(H19/1000*Assumptions!$B$34,1)</f>
        <v>6.3</v>
      </c>
      <c r="I22" s="21">
        <f>ROUND(I19/1000*Assumptions!$B$34,1)</f>
        <v>7.1</v>
      </c>
      <c r="J22" s="21">
        <f>ROUND(J19/1000*Assumptions!$B$34,1)</f>
        <v>7.9</v>
      </c>
      <c r="K22" s="21">
        <f>ROUND(K19/1000*Assumptions!$B$34,1)</f>
        <v>8.6999999999999993</v>
      </c>
      <c r="L22" s="21">
        <f>ROUND(L19/1000*Assumptions!$B$34,1)</f>
        <v>9.5</v>
      </c>
      <c r="M22" s="21">
        <f>ROUND(M19/1000*Assumptions!$B$34,1)</f>
        <v>10.5</v>
      </c>
      <c r="N22" s="21">
        <f>ROUND(N19/1000*Assumptions!$B$34,1)</f>
        <v>11.6</v>
      </c>
      <c r="O22" s="21">
        <f>ROUND(O19/1000*Assumptions!$B$34,1)</f>
        <v>12.6</v>
      </c>
      <c r="P22" s="21">
        <f>ROUND(P19/1000*Assumptions!$B$34,1)</f>
        <v>13.7</v>
      </c>
      <c r="Q22" s="21">
        <f>ROUND(Q19/1000*Assumptions!$B$34,1)</f>
        <v>14.7</v>
      </c>
      <c r="R22" s="21">
        <f>ROUND(R19/1000*Assumptions!$B$34,1)</f>
        <v>15.8</v>
      </c>
      <c r="S22" s="21">
        <f>ROUND(S19/1000*Assumptions!$B$34,1)</f>
        <v>17.100000000000001</v>
      </c>
      <c r="T22" s="22">
        <f>ROUND(T19/1000*Assumptions!$B$34,1)</f>
        <v>18.399999999999999</v>
      </c>
      <c r="U22" s="22">
        <f>ROUND(U19/1000*Assumptions!$B$34,1)</f>
        <v>19.7</v>
      </c>
      <c r="V22" s="22">
        <f>ROUND(V19/1000*Assumptions!$B$34,1)</f>
        <v>21</v>
      </c>
      <c r="W22" s="22">
        <f>ROUND(W19/1000*Assumptions!$B$34,1)</f>
        <v>22.3</v>
      </c>
      <c r="X22" s="22">
        <f>ROUND(X19/1000*Assumptions!$B$34,1)</f>
        <v>23.6</v>
      </c>
      <c r="Y22" s="22">
        <f>ROUND(Y19/1000*Assumptions!$B$34,1)</f>
        <v>24.9</v>
      </c>
      <c r="Z22" s="22">
        <f>ROUND(Z19/1000*Assumptions!$B$34,1)</f>
        <v>26.2</v>
      </c>
      <c r="AA22" s="22">
        <f>ROUND(AA19/1000*Assumptions!$B$34,1)</f>
        <v>26.3</v>
      </c>
    </row>
    <row r="23" spans="1:27" ht="7.5" customHeight="1" x14ac:dyDescent="0.25"/>
    <row r="24" spans="1:27" ht="21.75" customHeight="1" x14ac:dyDescent="0.25">
      <c r="A24" s="41" t="s">
        <v>76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7" ht="25.5" customHeight="1" x14ac:dyDescent="0.25">
      <c r="A25" s="49" t="s">
        <v>77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7" ht="18" customHeight="1" x14ac:dyDescent="0.25">
      <c r="A26" s="4" t="s">
        <v>64</v>
      </c>
      <c r="B26" s="35">
        <v>750</v>
      </c>
      <c r="C26" s="35">
        <v>1000</v>
      </c>
      <c r="D26" s="35">
        <v>1250</v>
      </c>
      <c r="E26" s="35">
        <v>1500</v>
      </c>
      <c r="F26" s="35">
        <v>1800</v>
      </c>
      <c r="G26" s="35">
        <v>2100</v>
      </c>
      <c r="H26" s="35">
        <v>2400</v>
      </c>
      <c r="I26" s="35">
        <v>2700</v>
      </c>
      <c r="J26" s="35">
        <v>3000</v>
      </c>
      <c r="K26" s="35">
        <v>3300</v>
      </c>
      <c r="L26" s="35">
        <v>3600</v>
      </c>
      <c r="M26" s="35">
        <v>4000</v>
      </c>
      <c r="N26" s="35">
        <v>4400</v>
      </c>
      <c r="O26" s="35">
        <v>4700</v>
      </c>
      <c r="P26" s="35">
        <v>5200</v>
      </c>
      <c r="Q26" s="35">
        <v>5600</v>
      </c>
      <c r="R26" s="35">
        <v>6000</v>
      </c>
      <c r="S26" s="35">
        <v>6500</v>
      </c>
      <c r="T26" s="36">
        <v>7000</v>
      </c>
      <c r="U26" s="36">
        <v>7500</v>
      </c>
      <c r="V26" s="36">
        <v>8000</v>
      </c>
      <c r="W26" s="36">
        <v>8500</v>
      </c>
      <c r="X26" s="36">
        <v>9000</v>
      </c>
      <c r="Y26" s="36">
        <v>9500</v>
      </c>
      <c r="Z26" s="36">
        <v>10000</v>
      </c>
    </row>
    <row r="27" spans="1:27" ht="15.75" customHeight="1" x14ac:dyDescent="0.25">
      <c r="A27" s="7" t="s">
        <v>78</v>
      </c>
      <c r="B27" s="8">
        <v>526</v>
      </c>
      <c r="C27" s="8">
        <v>579</v>
      </c>
      <c r="D27" s="8">
        <v>631</v>
      </c>
      <c r="E27" s="8">
        <v>684</v>
      </c>
      <c r="F27" s="8">
        <v>736</v>
      </c>
      <c r="G27" s="8">
        <v>789</v>
      </c>
      <c r="H27" s="8">
        <v>871</v>
      </c>
      <c r="I27" s="8">
        <v>954</v>
      </c>
      <c r="J27" s="8">
        <v>1036</v>
      </c>
      <c r="K27" s="8">
        <v>1119</v>
      </c>
      <c r="L27" s="8">
        <v>1201</v>
      </c>
      <c r="M27" s="8">
        <v>1284</v>
      </c>
      <c r="N27" s="8">
        <v>1366</v>
      </c>
      <c r="O27" s="8">
        <v>1449</v>
      </c>
      <c r="P27" s="8">
        <v>1531</v>
      </c>
      <c r="Q27" s="8">
        <v>1614</v>
      </c>
      <c r="R27" s="8">
        <v>1696</v>
      </c>
      <c r="S27" s="8">
        <v>1820</v>
      </c>
      <c r="T27" s="10">
        <v>3500</v>
      </c>
      <c r="U27" s="10">
        <v>3750</v>
      </c>
      <c r="V27" s="10">
        <v>4000</v>
      </c>
      <c r="W27" s="10">
        <v>4250</v>
      </c>
      <c r="X27" s="10">
        <v>4500</v>
      </c>
      <c r="Y27" s="10">
        <v>4750</v>
      </c>
      <c r="Z27" s="10">
        <v>5000</v>
      </c>
    </row>
    <row r="28" spans="1:27" ht="12.75" customHeight="1" x14ac:dyDescent="0.25">
      <c r="A28" s="11" t="s">
        <v>66</v>
      </c>
      <c r="B28" s="13">
        <f t="shared" ref="B28:Z28" si="3">IF(B26&gt;0,B27/B26,"")</f>
        <v>0.70133333333333336</v>
      </c>
      <c r="C28" s="13">
        <f t="shared" si="3"/>
        <v>0.57899999999999996</v>
      </c>
      <c r="D28" s="13">
        <f t="shared" si="3"/>
        <v>0.50480000000000003</v>
      </c>
      <c r="E28" s="13">
        <f t="shared" si="3"/>
        <v>0.45600000000000002</v>
      </c>
      <c r="F28" s="13">
        <f t="shared" si="3"/>
        <v>0.40888888888888891</v>
      </c>
      <c r="G28" s="13">
        <f t="shared" si="3"/>
        <v>0.37571428571428572</v>
      </c>
      <c r="H28" s="13">
        <f t="shared" si="3"/>
        <v>0.36291666666666667</v>
      </c>
      <c r="I28" s="13">
        <f t="shared" si="3"/>
        <v>0.35333333333333333</v>
      </c>
      <c r="J28" s="13">
        <f t="shared" si="3"/>
        <v>0.34533333333333333</v>
      </c>
      <c r="K28" s="13">
        <f t="shared" si="3"/>
        <v>0.33909090909090911</v>
      </c>
      <c r="L28" s="13">
        <f t="shared" si="3"/>
        <v>0.33361111111111114</v>
      </c>
      <c r="M28" s="13">
        <f t="shared" si="3"/>
        <v>0.32100000000000001</v>
      </c>
      <c r="N28" s="13">
        <f t="shared" si="3"/>
        <v>0.31045454545454543</v>
      </c>
      <c r="O28" s="13">
        <f t="shared" si="3"/>
        <v>0.30829787234042555</v>
      </c>
      <c r="P28" s="13">
        <f t="shared" si="3"/>
        <v>0.2944230769230769</v>
      </c>
      <c r="Q28" s="13">
        <f t="shared" si="3"/>
        <v>0.2882142857142857</v>
      </c>
      <c r="R28" s="13">
        <f t="shared" si="3"/>
        <v>0.28266666666666668</v>
      </c>
      <c r="S28" s="13">
        <f t="shared" si="3"/>
        <v>0.28000000000000003</v>
      </c>
      <c r="T28" s="16">
        <f t="shared" si="3"/>
        <v>0.5</v>
      </c>
      <c r="U28" s="16">
        <f t="shared" si="3"/>
        <v>0.5</v>
      </c>
      <c r="V28" s="16">
        <f t="shared" si="3"/>
        <v>0.5</v>
      </c>
      <c r="W28" s="16">
        <f t="shared" si="3"/>
        <v>0.5</v>
      </c>
      <c r="X28" s="16">
        <f t="shared" si="3"/>
        <v>0.5</v>
      </c>
      <c r="Y28" s="16">
        <f t="shared" si="3"/>
        <v>0.5</v>
      </c>
      <c r="Z28" s="16">
        <f t="shared" si="3"/>
        <v>0.5</v>
      </c>
    </row>
    <row r="29" spans="1:27" ht="15.75" customHeight="1" x14ac:dyDescent="0.25">
      <c r="A29" s="19" t="s">
        <v>67</v>
      </c>
      <c r="B29" s="21">
        <f>ROUND(B26/1000*Assumptions!$B$35,1)</f>
        <v>2.2999999999999998</v>
      </c>
      <c r="C29" s="21">
        <f>ROUND(C26/1000*Assumptions!$B$35,1)</f>
        <v>3.1</v>
      </c>
      <c r="D29" s="21">
        <f>ROUND(D26/1000*Assumptions!$B$35,1)</f>
        <v>3.9</v>
      </c>
      <c r="E29" s="21">
        <f>ROUND(E26/1000*Assumptions!$B$35,1)</f>
        <v>4.7</v>
      </c>
      <c r="F29" s="21">
        <f>ROUND(F26/1000*Assumptions!$B$35,1)</f>
        <v>5.6</v>
      </c>
      <c r="G29" s="21">
        <f>ROUND(G26/1000*Assumptions!$B$35,1)</f>
        <v>6.6</v>
      </c>
      <c r="H29" s="21">
        <f>ROUND(H26/1000*Assumptions!$B$35,1)</f>
        <v>7.5</v>
      </c>
      <c r="I29" s="21">
        <f>ROUND(I26/1000*Assumptions!$B$35,1)</f>
        <v>8.4</v>
      </c>
      <c r="J29" s="21">
        <f>ROUND(J26/1000*Assumptions!$B$35,1)</f>
        <v>9.4</v>
      </c>
      <c r="K29" s="21">
        <f>ROUND(K26/1000*Assumptions!$B$35,1)</f>
        <v>10.3</v>
      </c>
      <c r="L29" s="21">
        <f>ROUND(L26/1000*Assumptions!$B$35,1)</f>
        <v>11.3</v>
      </c>
      <c r="M29" s="21">
        <f>ROUND(M26/1000*Assumptions!$B$35,1)</f>
        <v>12.5</v>
      </c>
      <c r="N29" s="21">
        <f>ROUND(N26/1000*Assumptions!$B$35,1)</f>
        <v>13.8</v>
      </c>
      <c r="O29" s="21">
        <f>ROUND(O26/1000*Assumptions!$B$35,1)</f>
        <v>14.7</v>
      </c>
      <c r="P29" s="21">
        <f>ROUND(P26/1000*Assumptions!$B$35,1)</f>
        <v>16.3</v>
      </c>
      <c r="Q29" s="21">
        <f>ROUND(Q26/1000*Assumptions!$B$35,1)</f>
        <v>17.5</v>
      </c>
      <c r="R29" s="21">
        <f>ROUND(R26/1000*Assumptions!$B$35,1)</f>
        <v>18.8</v>
      </c>
      <c r="S29" s="21">
        <f>ROUND(S26/1000*Assumptions!$B$35,1)</f>
        <v>20.3</v>
      </c>
      <c r="T29" s="22">
        <f>ROUND(T26/1000*Assumptions!$B$35,1)</f>
        <v>21.9</v>
      </c>
      <c r="U29" s="22">
        <f>ROUND(U26/1000*Assumptions!$B$35,1)</f>
        <v>23.4</v>
      </c>
      <c r="V29" s="22">
        <f>ROUND(V26/1000*Assumptions!$B$35,1)</f>
        <v>25</v>
      </c>
      <c r="W29" s="22">
        <f>ROUND(W26/1000*Assumptions!$B$35,1)</f>
        <v>26.6</v>
      </c>
      <c r="X29" s="22">
        <f>ROUND(X26/1000*Assumptions!$B$35,1)</f>
        <v>28.1</v>
      </c>
      <c r="Y29" s="22">
        <f>ROUND(Y26/1000*Assumptions!$B$35,1)</f>
        <v>29.7</v>
      </c>
      <c r="Z29" s="22">
        <f>ROUND(Z26/1000*Assumptions!$B$35,1)</f>
        <v>31.3</v>
      </c>
    </row>
    <row r="30" spans="1:27" ht="7.5" customHeight="1" x14ac:dyDescent="0.25"/>
    <row r="31" spans="1:27" ht="21.75" customHeight="1" x14ac:dyDescent="0.25">
      <c r="A31" s="44" t="s">
        <v>79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7" ht="21.75" customHeight="1" x14ac:dyDescent="0.25">
      <c r="A32" s="48" t="s">
        <v>80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7" ht="18" customHeight="1" x14ac:dyDescent="0.25">
      <c r="A33" s="29" t="s">
        <v>81</v>
      </c>
      <c r="B33" s="29" t="s">
        <v>82</v>
      </c>
      <c r="C33" s="29" t="s">
        <v>83</v>
      </c>
      <c r="D33" s="29" t="s">
        <v>84</v>
      </c>
    </row>
    <row r="34" spans="1:27" ht="15.75" customHeight="1" x14ac:dyDescent="0.25">
      <c r="A34" s="30" t="s">
        <v>85</v>
      </c>
      <c r="B34" s="31">
        <f>(Assumptions!$B$17+Assumptions!$B$28)/(1-Assumptions!$B$10-Assumptions!$B$13)</f>
        <v>340.90909090909093</v>
      </c>
      <c r="C34" s="31">
        <f>(Assumptions!$B$17+Assumptions!$B$28)/(1-Assumptions!$B$12-Assumptions!$B$13)</f>
        <v>441.17647058823519</v>
      </c>
      <c r="D34" s="31">
        <f>(Assumptions!$B$17+Assumptions!$B$28)/(1-Assumptions!$B$11-Assumptions!$B$13)</f>
        <v>625</v>
      </c>
      <c r="E34" s="47" t="s">
        <v>86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</row>
    <row r="35" spans="1:27" ht="15.75" customHeight="1" x14ac:dyDescent="0.25">
      <c r="A35" s="30" t="s">
        <v>87</v>
      </c>
      <c r="B35" s="31">
        <f>(Assumptions!$B$18+Assumptions!$B$28)/(1-Assumptions!$B$10-Assumptions!$B$13)</f>
        <v>354.54545454545456</v>
      </c>
      <c r="C35" s="31">
        <f>(Assumptions!$B$18+Assumptions!$B$28)/(1-Assumptions!$B$12-Assumptions!$B$13)</f>
        <v>458.82352941176458</v>
      </c>
      <c r="D35" s="31">
        <f>(Assumptions!$B$18+Assumptions!$B$28)/(1-Assumptions!$B$11-Assumptions!$B$13)</f>
        <v>650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</row>
    <row r="36" spans="1:27" ht="15.75" customHeight="1" x14ac:dyDescent="0.25">
      <c r="A36" s="30" t="s">
        <v>88</v>
      </c>
      <c r="B36" s="31">
        <f>(Assumptions!$B$19+Assumptions!$B$28)/(1-Assumptions!$B$10-Assumptions!$B$13)</f>
        <v>363.63636363636368</v>
      </c>
      <c r="C36" s="31">
        <f>(Assumptions!$B$19+Assumptions!$B$28)/(1-Assumptions!$B$12-Assumptions!$B$13)</f>
        <v>470.58823529411751</v>
      </c>
      <c r="D36" s="31">
        <f>(Assumptions!$B$19+Assumptions!$B$28)/(1-Assumptions!$B$11-Assumptions!$B$13)</f>
        <v>666.66666666666674</v>
      </c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</row>
    <row r="37" spans="1:27" ht="15.75" customHeight="1" x14ac:dyDescent="0.25">
      <c r="A37" s="30" t="s">
        <v>89</v>
      </c>
      <c r="B37" s="31">
        <f>(Assumptions!$B$20+Assumptions!$B$28)/(1-Assumptions!$B$10-Assumptions!$B$13)</f>
        <v>372.72727272727275</v>
      </c>
      <c r="C37" s="31">
        <f>(Assumptions!$B$20+Assumptions!$B$28)/(1-Assumptions!$B$12-Assumptions!$B$13)</f>
        <v>482.35294117647049</v>
      </c>
      <c r="D37" s="31">
        <f>(Assumptions!$B$20+Assumptions!$B$28)/(1-Assumptions!$B$11-Assumptions!$B$13)</f>
        <v>683.33333333333337</v>
      </c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</row>
    <row r="38" spans="1:27" ht="15.75" customHeight="1" x14ac:dyDescent="0.25">
      <c r="A38" s="30" t="s">
        <v>90</v>
      </c>
      <c r="B38" s="31">
        <f>(Assumptions!$B$21+Assumptions!$B$28)/(1-Assumptions!$B$10-Assumptions!$B$13)</f>
        <v>386.36363636363643</v>
      </c>
      <c r="C38" s="31">
        <f>(Assumptions!$B$21+Assumptions!$B$28)/(1-Assumptions!$B$12-Assumptions!$B$13)</f>
        <v>499.99999999999989</v>
      </c>
      <c r="D38" s="31">
        <f>(Assumptions!$B$21+Assumptions!$B$28)/(1-Assumptions!$B$11-Assumptions!$B$13)</f>
        <v>708.33333333333337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</row>
    <row r="39" spans="1:27" ht="7.5" customHeight="1" x14ac:dyDescent="0.25"/>
    <row r="40" spans="1:27" ht="21.75" customHeight="1" x14ac:dyDescent="0.25">
      <c r="A40" s="51" t="s">
        <v>91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7" ht="21.75" customHeight="1" x14ac:dyDescent="0.25">
      <c r="A41" s="50" t="s">
        <v>92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7" ht="18" customHeight="1" x14ac:dyDescent="0.25">
      <c r="A42" s="4" t="s">
        <v>64</v>
      </c>
      <c r="B42" s="35">
        <v>750</v>
      </c>
      <c r="C42" s="35">
        <v>1000</v>
      </c>
      <c r="D42" s="35">
        <v>1250</v>
      </c>
      <c r="E42" s="35">
        <v>1500</v>
      </c>
      <c r="F42" s="35">
        <v>1800</v>
      </c>
      <c r="G42" s="35">
        <v>2100</v>
      </c>
      <c r="H42" s="35">
        <v>2400</v>
      </c>
      <c r="I42" s="35">
        <v>2700</v>
      </c>
      <c r="J42" s="35">
        <v>3000</v>
      </c>
      <c r="K42" s="35">
        <v>3300</v>
      </c>
      <c r="L42" s="35">
        <v>3600</v>
      </c>
      <c r="M42" s="35">
        <v>4000</v>
      </c>
      <c r="N42" s="35">
        <v>4400</v>
      </c>
      <c r="O42" s="35">
        <v>4800</v>
      </c>
      <c r="P42" s="35">
        <v>5200</v>
      </c>
      <c r="Q42" s="35">
        <v>5600</v>
      </c>
      <c r="R42" s="35">
        <v>6000</v>
      </c>
      <c r="S42" s="35">
        <v>6499</v>
      </c>
      <c r="T42" s="36">
        <v>6999</v>
      </c>
      <c r="U42" s="36">
        <v>7499</v>
      </c>
      <c r="V42" s="36">
        <v>7999</v>
      </c>
      <c r="W42" s="36">
        <v>8499</v>
      </c>
      <c r="X42" s="36">
        <v>8999</v>
      </c>
      <c r="Y42" s="36">
        <v>9499</v>
      </c>
      <c r="Z42" s="36">
        <v>9999</v>
      </c>
      <c r="AA42" s="36">
        <v>10000</v>
      </c>
    </row>
    <row r="43" spans="1:27" ht="15.75" customHeight="1" x14ac:dyDescent="0.25">
      <c r="A43" s="32" t="s">
        <v>93</v>
      </c>
      <c r="B43" s="33">
        <f>IFERROR(1-Assumptions!$B$12-(Assumptions!$B$22+Assumptions!$B$28)/B5,"")</f>
        <v>0.26014492753623192</v>
      </c>
      <c r="C43" s="33">
        <f>IFERROR(1-Assumptions!$B$12-(Assumptions!$B$22+Assumptions!$B$28)/C5,"")</f>
        <v>0.29276527331189717</v>
      </c>
      <c r="D43" s="33">
        <f>IFERROR(1-Assumptions!$B$12-(Assumptions!$B$22+Assumptions!$B$28)/D5,"")</f>
        <v>0.31878612716763011</v>
      </c>
      <c r="E43" s="33">
        <f>IFERROR(1-Assumptions!$B$12-(Assumptions!$B$22+Assumptions!$B$28)/E5,"")</f>
        <v>0.34002624671916015</v>
      </c>
      <c r="F43" s="33">
        <f>IFERROR(1-Assumptions!$B$12-(Assumptions!$B$22+Assumptions!$B$28)/F5,"")</f>
        <v>0.35769230769230775</v>
      </c>
      <c r="G43" s="33">
        <f>IFERROR(1-Assumptions!$B$12-(Assumptions!$B$22+Assumptions!$B$28)/G5,"")</f>
        <v>0.3726164079822617</v>
      </c>
      <c r="H43" s="33">
        <f>IFERROR(1-Assumptions!$B$12-(Assumptions!$B$22+Assumptions!$B$28)/H5,"")</f>
        <v>0.3918972332015811</v>
      </c>
      <c r="I43" s="33">
        <f>IFERROR(1-Assumptions!$B$12-(Assumptions!$B$22+Assumptions!$B$28)/I5,"")</f>
        <v>0.40739750445632805</v>
      </c>
      <c r="J43" s="33">
        <f>IFERROR(1-Assumptions!$B$12-(Assumptions!$B$22+Assumptions!$B$28)/J5,"")</f>
        <v>0.42012987012987019</v>
      </c>
      <c r="K43" s="33">
        <f>IFERROR(1-Assumptions!$B$12-(Assumptions!$B$22+Assumptions!$B$28)/K5,"")</f>
        <v>0.43077496274217592</v>
      </c>
      <c r="L43" s="33">
        <f>IFERROR(1-Assumptions!$B$12-(Assumptions!$B$22+Assumptions!$B$28)/L5,"")</f>
        <v>0.4398071625344353</v>
      </c>
      <c r="M43" s="33">
        <f>IFERROR(1-Assumptions!$B$12-(Assumptions!$B$22+Assumptions!$B$28)/M5,"")</f>
        <v>0.44756722151088352</v>
      </c>
      <c r="N43" s="33">
        <f>IFERROR(1-Assumptions!$B$12-(Assumptions!$B$22+Assumptions!$B$28)/N5,"")</f>
        <v>0.45430622009569382</v>
      </c>
      <c r="O43" s="33">
        <f>IFERROR(1-Assumptions!$B$12-(Assumptions!$B$22+Assumptions!$B$28)/O5,"")</f>
        <v>0.46021324354657694</v>
      </c>
      <c r="P43" s="33">
        <f>IFERROR(1-Assumptions!$B$12-(Assumptions!$B$22+Assumptions!$B$28)/P5,"")</f>
        <v>0.46543340380549686</v>
      </c>
      <c r="Q43" s="33">
        <f>IFERROR(1-Assumptions!$B$12-(Assumptions!$B$22+Assumptions!$B$28)/Q5,"")</f>
        <v>0.47007992007992011</v>
      </c>
      <c r="R43" s="33">
        <f>IFERROR(1-Assumptions!$B$12-(Assumptions!$B$22+Assumptions!$B$28)/R5,"")</f>
        <v>0.4742424242424243</v>
      </c>
      <c r="S43" s="33">
        <f>IFERROR(1-Assumptions!$B$12-(Assumptions!$B$22+Assumptions!$B$28)/S5,"")</f>
        <v>0.4742424242424243</v>
      </c>
      <c r="T43" s="34">
        <f>IFERROR(1-Assumptions!$B$12-(Assumptions!$B$22+Assumptions!$B$28)/T5,"")</f>
        <v>0.48162393162393169</v>
      </c>
      <c r="U43" s="34">
        <f>IFERROR(1-Assumptions!$B$12-(Assumptions!$B$22+Assumptions!$B$28)/U5,"")</f>
        <v>0.49074074074074081</v>
      </c>
      <c r="V43" s="34">
        <f>IFERROR(1-Assumptions!$B$12-(Assumptions!$B$22+Assumptions!$B$28)/V5,"")</f>
        <v>0.49838709677419357</v>
      </c>
      <c r="W43" s="34">
        <f>IFERROR(1-Assumptions!$B$12-(Assumptions!$B$22+Assumptions!$B$28)/W5,"")</f>
        <v>0.50428571428571434</v>
      </c>
      <c r="X43" s="34">
        <f>IFERROR(1-Assumptions!$B$12-(Assumptions!$B$22+Assumptions!$B$28)/X5,"")</f>
        <v>0.50897435897435905</v>
      </c>
      <c r="Y43" s="34">
        <f>IFERROR(1-Assumptions!$B$12-(Assumptions!$B$22+Assumptions!$B$28)/Y5,"")</f>
        <v>0.51279069767441865</v>
      </c>
      <c r="Z43" s="34">
        <f>IFERROR(1-Assumptions!$B$12-(Assumptions!$B$22+Assumptions!$B$28)/Z5,"")</f>
        <v>0.51595744680851063</v>
      </c>
      <c r="AA43" s="34">
        <f>IFERROR(1-Assumptions!$B$12-(Assumptions!$B$22+Assumptions!$B$28)/AA5,"")</f>
        <v>0.5186274509803922</v>
      </c>
    </row>
    <row r="44" spans="1:27" ht="15.75" customHeight="1" x14ac:dyDescent="0.25">
      <c r="A44" s="32" t="s">
        <v>94</v>
      </c>
      <c r="B44" s="33">
        <f>IFERROR(1-Assumptions!$B$12-(Assumptions!$B$22+Assumptions!$B$28)/B11,"")</f>
        <v>9.5454545454545514E-2</v>
      </c>
      <c r="C44" s="33">
        <f>IFERROR(1-Assumptions!$B$12-(Assumptions!$B$22+Assumptions!$B$28)/C11,"")</f>
        <v>0.17085308056872045</v>
      </c>
      <c r="D44" s="33">
        <f>IFERROR(1-Assumptions!$B$12-(Assumptions!$B$22+Assumptions!$B$28)/D11,"")</f>
        <v>0.22479674796747973</v>
      </c>
      <c r="E44" s="33">
        <f>IFERROR(1-Assumptions!$B$12-(Assumptions!$B$22+Assumptions!$B$28)/E11,"")</f>
        <v>0.26530249110320286</v>
      </c>
      <c r="F44" s="33">
        <f>IFERROR(1-Assumptions!$B$12-(Assumptions!$B$22+Assumptions!$B$28)/F11,"")</f>
        <v>0.29683544303797471</v>
      </c>
      <c r="G44" s="33">
        <f>IFERROR(1-Assumptions!$B$12-(Assumptions!$B$22+Assumptions!$B$28)/G11,"")</f>
        <v>0.32207977207977212</v>
      </c>
      <c r="H44" s="33">
        <f>IFERROR(1-Assumptions!$B$12-(Assumptions!$B$22+Assumptions!$B$28)/H11,"")</f>
        <v>0.34002624671916015</v>
      </c>
      <c r="I44" s="33">
        <f>IFERROR(1-Assumptions!$B$12-(Assumptions!$B$22+Assumptions!$B$28)/I11,"")</f>
        <v>0.36651376146788994</v>
      </c>
      <c r="J44" s="33">
        <f>IFERROR(1-Assumptions!$B$12-(Assumptions!$B$22+Assumptions!$B$28)/J11,"")</f>
        <v>0.38706720977596742</v>
      </c>
      <c r="K44" s="33">
        <f>IFERROR(1-Assumptions!$B$12-(Assumptions!$B$22+Assumptions!$B$28)/K11,"")</f>
        <v>0.40347985347985349</v>
      </c>
      <c r="L44" s="33">
        <f>IFERROR(1-Assumptions!$B$12-(Assumptions!$B$22+Assumptions!$B$28)/L11,"")</f>
        <v>0.41688851913477543</v>
      </c>
      <c r="M44" s="33">
        <f>IFERROR(1-Assumptions!$B$12-(Assumptions!$B$22+Assumptions!$B$28)/M11,"")</f>
        <v>0.42804878048780493</v>
      </c>
      <c r="N44" s="33">
        <f>IFERROR(1-Assumptions!$B$12-(Assumptions!$B$22+Assumptions!$B$28)/N11,"")</f>
        <v>0.4374824191279888</v>
      </c>
      <c r="O44" s="33">
        <f>IFERROR(1-Assumptions!$B$12-(Assumptions!$B$22+Assumptions!$B$28)/O11,"")</f>
        <v>0.44556135770234995</v>
      </c>
      <c r="P44" s="33">
        <f>IFERROR(1-Assumptions!$B$12-(Assumptions!$B$22+Assumptions!$B$28)/P11,"")</f>
        <v>0.45255785627283807</v>
      </c>
      <c r="Q44" s="33">
        <f>IFERROR(1-Assumptions!$B$12-(Assumptions!$B$22+Assumptions!$B$28)/Q11,"")</f>
        <v>0.45867579908675804</v>
      </c>
      <c r="R44" s="33">
        <f>IFERROR(1-Assumptions!$B$12-(Assumptions!$B$22+Assumptions!$B$28)/R11,"")</f>
        <v>0.46407089151450059</v>
      </c>
      <c r="S44" s="33">
        <f>IFERROR(1-Assumptions!$B$12-(Assumptions!$B$22+Assumptions!$B$28)/S11,"")</f>
        <v>0.46407089151450059</v>
      </c>
      <c r="T44" s="34">
        <f>IFERROR(1-Assumptions!$B$12-(Assumptions!$B$22+Assumptions!$B$28)/T11,"")</f>
        <v>0.47344497607655506</v>
      </c>
      <c r="U44" s="34">
        <f>IFERROR(1-Assumptions!$B$12-(Assumptions!$B$22+Assumptions!$B$28)/U11,"")</f>
        <v>0.48333333333333339</v>
      </c>
      <c r="V44" s="34">
        <f>IFERROR(1-Assumptions!$B$12-(Assumptions!$B$22+Assumptions!$B$28)/V11,"")</f>
        <v>0.49181818181818188</v>
      </c>
      <c r="W44" s="34">
        <f>IFERROR(1-Assumptions!$B$12-(Assumptions!$B$22+Assumptions!$B$28)/W11,"")</f>
        <v>0.49838709677419357</v>
      </c>
      <c r="X44" s="34">
        <f>IFERROR(1-Assumptions!$B$12-(Assumptions!$B$22+Assumptions!$B$28)/X11,"")</f>
        <v>0.50362318840579712</v>
      </c>
      <c r="Y44" s="34">
        <f>IFERROR(1-Assumptions!$B$12-(Assumptions!$B$22+Assumptions!$B$28)/Y11,"")</f>
        <v>0.50789473684210529</v>
      </c>
      <c r="Z44" s="34">
        <f>IFERROR(1-Assumptions!$B$12-(Assumptions!$B$22+Assumptions!$B$28)/Z11,"")</f>
        <v>0.5114457831325302</v>
      </c>
      <c r="AA44" s="34">
        <f>IFERROR(1-Assumptions!$B$12-(Assumptions!$B$22+Assumptions!$B$28)/AA11,"")</f>
        <v>0.51444444444444448</v>
      </c>
    </row>
    <row r="45" spans="1:27" ht="15.75" customHeight="1" x14ac:dyDescent="0.25">
      <c r="A45" s="32" t="s">
        <v>95</v>
      </c>
      <c r="B45" s="33">
        <f>IFERROR(1-Assumptions!$B$12-(Assumptions!$B$22+Assumptions!$B$28)/B14,"")</f>
        <v>-0.10040650406504059</v>
      </c>
      <c r="C45" s="33">
        <f>IFERROR(1-Assumptions!$B$12-(Assumptions!$B$22+Assumptions!$B$28)/C14,"")</f>
        <v>5.7823129251700633E-3</v>
      </c>
      <c r="D45" s="33">
        <f>IFERROR(1-Assumptions!$B$12-(Assumptions!$B$22+Assumptions!$B$28)/D14,"")</f>
        <v>8.4883720930232609E-2</v>
      </c>
      <c r="E45" s="33">
        <f>IFERROR(1-Assumptions!$B$12-(Assumptions!$B$22+Assumptions!$B$28)/E14,"")</f>
        <v>0.14183673469387759</v>
      </c>
      <c r="F45" s="33">
        <f>IFERROR(1-Assumptions!$B$12-(Assumptions!$B$22+Assumptions!$B$28)/F14,"")</f>
        <v>0.18800904977375571</v>
      </c>
      <c r="G45" s="33">
        <f>IFERROR(1-Assumptions!$B$12-(Assumptions!$B$22+Assumptions!$B$28)/G14,"")</f>
        <v>0.22346938775510211</v>
      </c>
      <c r="H45" s="33">
        <f>IFERROR(1-Assumptions!$B$12-(Assumptions!$B$22+Assumptions!$B$28)/H14,"")</f>
        <v>0.24924812030075194</v>
      </c>
      <c r="I45" s="33">
        <f>IFERROR(1-Assumptions!$B$12-(Assumptions!$B$22+Assumptions!$B$28)/I14,"")</f>
        <v>0.28770491803278692</v>
      </c>
      <c r="J45" s="33">
        <f>IFERROR(1-Assumptions!$B$12-(Assumptions!$B$22+Assumptions!$B$28)/J14,"")</f>
        <v>0.31676384839650151</v>
      </c>
      <c r="K45" s="33">
        <f>IFERROR(1-Assumptions!$B$12-(Assumptions!$B$22+Assumptions!$B$28)/K14,"")</f>
        <v>0.34057591623036654</v>
      </c>
      <c r="L45" s="33">
        <f>IFERROR(1-Assumptions!$B$12-(Assumptions!$B$22+Assumptions!$B$28)/L14,"")</f>
        <v>0.35952380952380958</v>
      </c>
      <c r="M45" s="33">
        <f>IFERROR(1-Assumptions!$B$12-(Assumptions!$B$22+Assumptions!$B$28)/M14,"")</f>
        <v>0.37570806100217868</v>
      </c>
      <c r="N45" s="33">
        <f>IFERROR(1-Assumptions!$B$12-(Assumptions!$B$22+Assumptions!$B$28)/N14,"")</f>
        <v>0.38903420523138837</v>
      </c>
      <c r="O45" s="33">
        <f>IFERROR(1-Assumptions!$B$12-(Assumptions!$B$22+Assumptions!$B$28)/O14,"")</f>
        <v>0.40074626865671648</v>
      </c>
      <c r="P45" s="33">
        <f>IFERROR(1-Assumptions!$B$12-(Assumptions!$B$22+Assumptions!$B$28)/P14,"")</f>
        <v>0.41062717770034851</v>
      </c>
      <c r="Q45" s="33">
        <f>IFERROR(1-Assumptions!$B$12-(Assumptions!$B$22+Assumptions!$B$28)/Q14,"")</f>
        <v>0.41949429037520397</v>
      </c>
      <c r="R45" s="33">
        <f>IFERROR(1-Assumptions!$B$12-(Assumptions!$B$22+Assumptions!$B$28)/R14,"")</f>
        <v>0.42711213517665136</v>
      </c>
      <c r="S45" s="33">
        <f>IFERROR(1-Assumptions!$B$12-(Assumptions!$B$22+Assumptions!$B$28)/S14,"")</f>
        <v>0.42711213517665136</v>
      </c>
      <c r="T45" s="34">
        <f>IFERROR(1-Assumptions!$B$12-(Assumptions!$B$22+Assumptions!$B$28)/T14,"")</f>
        <v>0.44071038251366124</v>
      </c>
      <c r="U45" s="34">
        <f>IFERROR(1-Assumptions!$B$12-(Assumptions!$B$22+Assumptions!$B$28)/U14,"")</f>
        <v>0.45476190476190481</v>
      </c>
      <c r="V45" s="34">
        <f>IFERROR(1-Assumptions!$B$12-(Assumptions!$B$22+Assumptions!$B$28)/V14,"")</f>
        <v>0.46666666666666673</v>
      </c>
      <c r="W45" s="34">
        <f>IFERROR(1-Assumptions!$B$12-(Assumptions!$B$22+Assumptions!$B$28)/W14,"")</f>
        <v>0.476605504587156</v>
      </c>
      <c r="X45" s="34">
        <f>IFERROR(1-Assumptions!$B$12-(Assumptions!$B$22+Assumptions!$B$28)/X14,"")</f>
        <v>0.4838842975206612</v>
      </c>
      <c r="Y45" s="34">
        <f>IFERROR(1-Assumptions!$B$12-(Assumptions!$B$22+Assumptions!$B$28)/Y14,"")</f>
        <v>0.48984962406015042</v>
      </c>
      <c r="Z45" s="34">
        <f>IFERROR(1-Assumptions!$B$12-(Assumptions!$B$22+Assumptions!$B$28)/Z14,"")</f>
        <v>0.4948275862068966</v>
      </c>
      <c r="AA45" s="34">
        <f>IFERROR(1-Assumptions!$B$12-(Assumptions!$B$22+Assumptions!$B$28)/AA14,"")</f>
        <v>0.49936708860759499</v>
      </c>
    </row>
    <row r="46" spans="1:27" ht="15.75" customHeight="1" x14ac:dyDescent="0.25">
      <c r="A46" s="32" t="s">
        <v>96</v>
      </c>
      <c r="B46" s="33">
        <f>IFERROR(1-Assumptions!$B$12-(Assumptions!$B$22+Assumptions!$B$28)/B27,"")</f>
        <v>0.39790874524714837</v>
      </c>
      <c r="C46" s="33">
        <f>IFERROR(1-Assumptions!$B$12-(Assumptions!$B$22+Assumptions!$B$28)/C27,"")</f>
        <v>0.41183074265975828</v>
      </c>
      <c r="D46" s="33">
        <f>IFERROR(1-Assumptions!$B$12-(Assumptions!$B$22+Assumptions!$B$28)/D27,"")</f>
        <v>0.42321711568938197</v>
      </c>
      <c r="E46" s="33">
        <f>IFERROR(1-Assumptions!$B$12-(Assumptions!$B$22+Assumptions!$B$28)/E27,"")</f>
        <v>0.43304093567251467</v>
      </c>
      <c r="F46" s="33">
        <f>IFERROR(1-Assumptions!$B$12-(Assumptions!$B$22+Assumptions!$B$28)/F27,"")</f>
        <v>0.44130434782608702</v>
      </c>
      <c r="G46" s="33">
        <f>IFERROR(1-Assumptions!$B$12-(Assumptions!$B$22+Assumptions!$B$28)/G27,"")</f>
        <v>0.44860583016476557</v>
      </c>
      <c r="H46" s="33">
        <f>IFERROR(1-Assumptions!$B$12-(Assumptions!$B$22+Assumptions!$B$28)/H27,"")</f>
        <v>0.45815154994259477</v>
      </c>
      <c r="I46" s="33">
        <f>IFERROR(1-Assumptions!$B$12-(Assumptions!$B$22+Assumptions!$B$28)/I27,"")</f>
        <v>0.46614255765199164</v>
      </c>
      <c r="J46" s="33">
        <f>IFERROR(1-Assumptions!$B$12-(Assumptions!$B$22+Assumptions!$B$28)/J27,"")</f>
        <v>0.47277992277992281</v>
      </c>
      <c r="K46" s="33">
        <f>IFERROR(1-Assumptions!$B$12-(Assumptions!$B$22+Assumptions!$B$28)/K27,"")</f>
        <v>0.47850759606791782</v>
      </c>
      <c r="L46" s="33">
        <f>IFERROR(1-Assumptions!$B$12-(Assumptions!$B$22+Assumptions!$B$28)/L27,"")</f>
        <v>0.48338884263114079</v>
      </c>
      <c r="M46" s="33">
        <f>IFERROR(1-Assumptions!$B$12-(Assumptions!$B$22+Assumptions!$B$28)/M27,"")</f>
        <v>0.48769470404984427</v>
      </c>
      <c r="N46" s="33">
        <f>IFERROR(1-Assumptions!$B$12-(Assumptions!$B$22+Assumptions!$B$28)/N27,"")</f>
        <v>0.49143484626647149</v>
      </c>
      <c r="O46" s="33">
        <f>IFERROR(1-Assumptions!$B$12-(Assumptions!$B$22+Assumptions!$B$28)/O27,"")</f>
        <v>0.49478951000690136</v>
      </c>
      <c r="P46" s="33">
        <f>IFERROR(1-Assumptions!$B$12-(Assumptions!$B$22+Assumptions!$B$28)/P27,"")</f>
        <v>0.49774657086871332</v>
      </c>
      <c r="Q46" s="33">
        <f>IFERROR(1-Assumptions!$B$12-(Assumptions!$B$22+Assumptions!$B$28)/Q27,"")</f>
        <v>0.5004337050805453</v>
      </c>
      <c r="R46" s="33">
        <f>IFERROR(1-Assumptions!$B$12-(Assumptions!$B$22+Assumptions!$B$28)/R27,"")</f>
        <v>0.50283018867924534</v>
      </c>
      <c r="S46" s="33">
        <f>IFERROR(1-Assumptions!$B$12-(Assumptions!$B$22+Assumptions!$B$28)/S27,"")</f>
        <v>0.50604395604395613</v>
      </c>
      <c r="T46" s="34">
        <f>IFERROR(1-Assumptions!$B$12-(Assumptions!$B$22+Assumptions!$B$28)/T27,"")</f>
        <v>0.52714285714285714</v>
      </c>
      <c r="U46" s="34">
        <f>IFERROR(1-Assumptions!$B$12-(Assumptions!$B$22+Assumptions!$B$28)/U27,"")</f>
        <v>0.52866666666666673</v>
      </c>
      <c r="V46" s="34">
        <f>IFERROR(1-Assumptions!$B$12-(Assumptions!$B$22+Assumptions!$B$28)/V27,"")</f>
        <v>0.53</v>
      </c>
      <c r="W46" s="34">
        <f>IFERROR(1-Assumptions!$B$12-(Assumptions!$B$22+Assumptions!$B$28)/W27,"")</f>
        <v>0.53117647058823536</v>
      </c>
      <c r="X46" s="34">
        <f>IFERROR(1-Assumptions!$B$12-(Assumptions!$B$22+Assumptions!$B$28)/X27,"")</f>
        <v>0.53222222222222226</v>
      </c>
      <c r="Y46" s="34">
        <f>IFERROR(1-Assumptions!$B$12-(Assumptions!$B$22+Assumptions!$B$28)/Y27,"")</f>
        <v>0.53315789473684216</v>
      </c>
      <c r="Z46" s="34">
        <f>IFERROR(1-Assumptions!$B$12-(Assumptions!$B$22+Assumptions!$B$28)/Z27,"")</f>
        <v>0.53400000000000003</v>
      </c>
    </row>
    <row r="47" spans="1:27" ht="7.5" customHeight="1" x14ac:dyDescent="0.25"/>
    <row r="48" spans="1:27" ht="21.75" customHeight="1" x14ac:dyDescent="0.25">
      <c r="A48" s="41" t="s">
        <v>55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15" customHeight="1" x14ac:dyDescent="0.25">
      <c r="A49" s="2" t="s">
        <v>97</v>
      </c>
      <c r="B49" s="8">
        <v>200</v>
      </c>
      <c r="C49" s="46" t="s">
        <v>98</v>
      </c>
      <c r="D49" s="42"/>
      <c r="E49" s="42"/>
      <c r="F49" s="42"/>
      <c r="G49" s="42"/>
      <c r="H49" s="42"/>
      <c r="I49" s="42"/>
      <c r="J49" s="42"/>
    </row>
    <row r="50" spans="1:26" ht="15" customHeight="1" x14ac:dyDescent="0.25">
      <c r="A50" s="2" t="s">
        <v>99</v>
      </c>
      <c r="B50" s="8">
        <v>200</v>
      </c>
    </row>
    <row r="51" spans="1:26" ht="15" customHeight="1" x14ac:dyDescent="0.25">
      <c r="A51" s="2" t="s">
        <v>100</v>
      </c>
      <c r="B51" s="8">
        <v>150</v>
      </c>
    </row>
    <row r="52" spans="1:26" ht="15" customHeight="1" x14ac:dyDescent="0.25">
      <c r="A52" s="2" t="s">
        <v>101</v>
      </c>
      <c r="B52" s="8">
        <v>350</v>
      </c>
      <c r="C52" s="46" t="s">
        <v>98</v>
      </c>
      <c r="D52" s="42"/>
      <c r="E52" s="42"/>
      <c r="F52" s="42"/>
      <c r="G52" s="42"/>
      <c r="H52" s="42"/>
      <c r="I52" s="42"/>
      <c r="J52" s="42"/>
    </row>
    <row r="53" spans="1:26" ht="15" customHeight="1" x14ac:dyDescent="0.25">
      <c r="A53" s="2" t="s">
        <v>102</v>
      </c>
      <c r="B53" s="8">
        <v>450</v>
      </c>
    </row>
    <row r="54" spans="1:26" ht="7.5" customHeight="1" x14ac:dyDescent="0.25"/>
    <row r="55" spans="1:26" ht="21.75" customHeight="1" x14ac:dyDescent="0.25">
      <c r="A55" s="41" t="s">
        <v>103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15" customHeight="1" x14ac:dyDescent="0.25">
      <c r="A56" s="2" t="s">
        <v>104</v>
      </c>
      <c r="B56" s="8">
        <v>50</v>
      </c>
      <c r="C56" s="46" t="s">
        <v>105</v>
      </c>
      <c r="D56" s="42"/>
      <c r="E56" s="42"/>
      <c r="F56" s="42"/>
      <c r="G56" s="42"/>
      <c r="H56" s="42"/>
      <c r="I56" s="42"/>
      <c r="J56" s="42"/>
    </row>
    <row r="57" spans="1:26" ht="15" customHeight="1" x14ac:dyDescent="0.25">
      <c r="A57" s="2" t="s">
        <v>106</v>
      </c>
      <c r="B57" s="8">
        <v>100</v>
      </c>
    </row>
    <row r="58" spans="1:26" ht="15" customHeight="1" x14ac:dyDescent="0.25">
      <c r="A58" s="2" t="s">
        <v>107</v>
      </c>
      <c r="B58" s="8">
        <v>20</v>
      </c>
      <c r="C58" s="46" t="s">
        <v>108</v>
      </c>
      <c r="D58" s="42"/>
      <c r="E58" s="42"/>
      <c r="F58" s="42"/>
      <c r="G58" s="42"/>
      <c r="H58" s="42"/>
      <c r="I58" s="42"/>
      <c r="J58" s="42"/>
    </row>
    <row r="59" spans="1:26" ht="15" customHeight="1" x14ac:dyDescent="0.25">
      <c r="A59" s="2" t="s">
        <v>109</v>
      </c>
      <c r="B59" s="8">
        <v>42.5</v>
      </c>
      <c r="C59" s="46" t="s">
        <v>110</v>
      </c>
      <c r="D59" s="42"/>
      <c r="E59" s="42"/>
      <c r="F59" s="42"/>
      <c r="G59" s="42"/>
      <c r="H59" s="42"/>
      <c r="I59" s="42"/>
      <c r="J59" s="42"/>
    </row>
    <row r="60" spans="1:26" ht="15" customHeight="1" x14ac:dyDescent="0.25">
      <c r="A60" s="2" t="s">
        <v>111</v>
      </c>
      <c r="B60" s="8">
        <v>35</v>
      </c>
      <c r="C60" t="s">
        <v>112</v>
      </c>
    </row>
    <row r="61" spans="1:26" ht="15.75" customHeight="1" x14ac:dyDescent="0.25"/>
    <row r="62" spans="1:26" ht="15.75" customHeight="1" x14ac:dyDescent="0.25"/>
    <row r="63" spans="1:26" ht="15.75" customHeight="1" x14ac:dyDescent="0.25">
      <c r="A63" s="38" t="s">
        <v>120</v>
      </c>
    </row>
    <row r="64" spans="1:26" ht="15.75" customHeight="1" x14ac:dyDescent="0.25">
      <c r="A64" t="s">
        <v>121</v>
      </c>
    </row>
    <row r="65" spans="1:27" ht="15.75" customHeight="1" x14ac:dyDescent="0.25">
      <c r="A65" s="38" t="s">
        <v>122</v>
      </c>
      <c r="B65" s="39">
        <f t="shared" ref="B65:AA65" si="4">B10</f>
        <v>750</v>
      </c>
      <c r="C65" s="39">
        <f t="shared" si="4"/>
        <v>1000</v>
      </c>
      <c r="D65" s="39">
        <f t="shared" si="4"/>
        <v>1250</v>
      </c>
      <c r="E65" s="39">
        <f t="shared" si="4"/>
        <v>1500</v>
      </c>
      <c r="F65" s="39">
        <f t="shared" si="4"/>
        <v>1800</v>
      </c>
      <c r="G65" s="39">
        <f t="shared" si="4"/>
        <v>2100</v>
      </c>
      <c r="H65" s="39">
        <f t="shared" si="4"/>
        <v>2400</v>
      </c>
      <c r="I65" s="39">
        <f t="shared" si="4"/>
        <v>2700</v>
      </c>
      <c r="J65" s="39">
        <f t="shared" si="4"/>
        <v>3000</v>
      </c>
      <c r="K65" s="39">
        <f t="shared" si="4"/>
        <v>3300</v>
      </c>
      <c r="L65" s="39">
        <f t="shared" si="4"/>
        <v>3600</v>
      </c>
      <c r="M65" s="39">
        <f t="shared" si="4"/>
        <v>4000</v>
      </c>
      <c r="N65" s="39">
        <f t="shared" si="4"/>
        <v>4400</v>
      </c>
      <c r="O65" s="39">
        <f t="shared" si="4"/>
        <v>4800</v>
      </c>
      <c r="P65" s="39">
        <f t="shared" si="4"/>
        <v>5200</v>
      </c>
      <c r="Q65" s="39">
        <f t="shared" si="4"/>
        <v>5600</v>
      </c>
      <c r="R65" s="39">
        <f t="shared" si="4"/>
        <v>6000</v>
      </c>
      <c r="S65" s="39">
        <f t="shared" si="4"/>
        <v>6499</v>
      </c>
      <c r="T65" s="39">
        <f t="shared" si="4"/>
        <v>6999</v>
      </c>
      <c r="U65" s="39">
        <f t="shared" si="4"/>
        <v>7499</v>
      </c>
      <c r="V65" s="39">
        <f t="shared" si="4"/>
        <v>7999</v>
      </c>
      <c r="W65" s="39">
        <f t="shared" si="4"/>
        <v>8499</v>
      </c>
      <c r="X65" s="39">
        <f t="shared" si="4"/>
        <v>8999</v>
      </c>
      <c r="Y65" s="39">
        <f t="shared" si="4"/>
        <v>9499</v>
      </c>
      <c r="Z65" s="39">
        <f t="shared" si="4"/>
        <v>9999</v>
      </c>
      <c r="AA65" s="39">
        <f t="shared" si="4"/>
        <v>10000</v>
      </c>
    </row>
    <row r="66" spans="1:27" ht="15.75" customHeight="1" x14ac:dyDescent="0.25">
      <c r="A66" s="38" t="s">
        <v>123</v>
      </c>
      <c r="B66" s="37">
        <f>MAX(B14,Assumptions!$B$52)</f>
        <v>200</v>
      </c>
      <c r="C66" s="37">
        <f>MAX(C14,Assumptions!$B$52)</f>
        <v>200</v>
      </c>
      <c r="D66" s="37">
        <f>MAX(D14,Assumptions!$B$52)</f>
        <v>200</v>
      </c>
      <c r="E66" s="37">
        <f>MAX(E14,Assumptions!$B$52)</f>
        <v>200</v>
      </c>
      <c r="F66" s="37">
        <f>MAX(F14,Assumptions!$B$52)</f>
        <v>221</v>
      </c>
      <c r="G66" s="37">
        <f>MAX(G14,Assumptions!$B$52)</f>
        <v>245</v>
      </c>
      <c r="H66" s="37">
        <f>MAX(H14,Assumptions!$B$52)</f>
        <v>266</v>
      </c>
      <c r="I66" s="37">
        <f>MAX(I14,Assumptions!$B$52)</f>
        <v>305</v>
      </c>
      <c r="J66" s="37">
        <f>MAX(J14,Assumptions!$B$52)</f>
        <v>343</v>
      </c>
      <c r="K66" s="37">
        <f>MAX(K14,Assumptions!$B$52)</f>
        <v>382</v>
      </c>
      <c r="L66" s="37">
        <f>MAX(L14,Assumptions!$B$52)</f>
        <v>420</v>
      </c>
      <c r="M66" s="37">
        <f>MAX(M14,Assumptions!$B$52)</f>
        <v>459</v>
      </c>
      <c r="N66" s="37">
        <f>MAX(N14,Assumptions!$B$52)</f>
        <v>497</v>
      </c>
      <c r="O66" s="37">
        <f>MAX(O14,Assumptions!$B$52)</f>
        <v>536</v>
      </c>
      <c r="P66" s="37">
        <f>MAX(P14,Assumptions!$B$52)</f>
        <v>574</v>
      </c>
      <c r="Q66" s="37">
        <f>MAX(Q14,Assumptions!$B$52)</f>
        <v>613</v>
      </c>
      <c r="R66" s="37">
        <f>MAX(R14,Assumptions!$B$52)</f>
        <v>651</v>
      </c>
      <c r="S66" s="37">
        <f>MAX(S14,Assumptions!$B$52)</f>
        <v>651</v>
      </c>
      <c r="T66" s="37">
        <f>MAX(T14,Assumptions!$B$52)</f>
        <v>732</v>
      </c>
      <c r="U66" s="37">
        <f>MAX(U14,Assumptions!$B$52)</f>
        <v>840</v>
      </c>
      <c r="V66" s="37">
        <f>MAX(V14,Assumptions!$B$52)</f>
        <v>960</v>
      </c>
      <c r="W66" s="37">
        <f>MAX(W14,Assumptions!$B$52)</f>
        <v>1090</v>
      </c>
      <c r="X66" s="37">
        <f>MAX(X14,Assumptions!$B$52)</f>
        <v>1210</v>
      </c>
      <c r="Y66" s="37">
        <f>MAX(Y14,Assumptions!$B$52)</f>
        <v>1330</v>
      </c>
      <c r="Z66" s="37">
        <f>MAX(Z14,Assumptions!$B$52)</f>
        <v>1450</v>
      </c>
      <c r="AA66" s="37">
        <f>MAX(AA14,Assumptions!$B$52)</f>
        <v>1580</v>
      </c>
    </row>
    <row r="67" spans="1:27" ht="15.75" customHeight="1" x14ac:dyDescent="0.25">
      <c r="A67" s="38" t="s">
        <v>124</v>
      </c>
      <c r="B67" s="40">
        <f>IFERROR(1-Assumptions!$B$12-(Assumptions!$B$22+Assumptions!$B$28)/B66,"")</f>
        <v>0.15000000000000002</v>
      </c>
      <c r="C67" s="40">
        <f>IFERROR(1-Assumptions!$B$12-(Assumptions!$B$22+Assumptions!$B$28)/C66,"")</f>
        <v>0.15000000000000002</v>
      </c>
      <c r="D67" s="40">
        <f>IFERROR(1-Assumptions!$B$12-(Assumptions!$B$22+Assumptions!$B$28)/D66,"")</f>
        <v>0.15000000000000002</v>
      </c>
      <c r="E67" s="40">
        <f>IFERROR(1-Assumptions!$B$12-(Assumptions!$B$22+Assumptions!$B$28)/E66,"")</f>
        <v>0.15000000000000002</v>
      </c>
      <c r="F67" s="40">
        <f>IFERROR(1-Assumptions!$B$12-(Assumptions!$B$22+Assumptions!$B$28)/F66,"")</f>
        <v>0.18800904977375571</v>
      </c>
      <c r="G67" s="40">
        <f>IFERROR(1-Assumptions!$B$12-(Assumptions!$B$22+Assumptions!$B$28)/G66,"")</f>
        <v>0.22346938775510211</v>
      </c>
      <c r="H67" s="40">
        <f>IFERROR(1-Assumptions!$B$12-(Assumptions!$B$22+Assumptions!$B$28)/H66,"")</f>
        <v>0.24924812030075194</v>
      </c>
      <c r="I67" s="40">
        <f>IFERROR(1-Assumptions!$B$12-(Assumptions!$B$22+Assumptions!$B$28)/I66,"")</f>
        <v>0.28770491803278692</v>
      </c>
      <c r="J67" s="40">
        <f>IFERROR(1-Assumptions!$B$12-(Assumptions!$B$22+Assumptions!$B$28)/J66,"")</f>
        <v>0.31676384839650151</v>
      </c>
      <c r="K67" s="40">
        <f>IFERROR(1-Assumptions!$B$12-(Assumptions!$B$22+Assumptions!$B$28)/K66,"")</f>
        <v>0.34057591623036654</v>
      </c>
      <c r="L67" s="40">
        <f>IFERROR(1-Assumptions!$B$12-(Assumptions!$B$22+Assumptions!$B$28)/L66,"")</f>
        <v>0.35952380952380958</v>
      </c>
      <c r="M67" s="40">
        <f>IFERROR(1-Assumptions!$B$12-(Assumptions!$B$22+Assumptions!$B$28)/M66,"")</f>
        <v>0.37570806100217868</v>
      </c>
      <c r="N67" s="40">
        <f>IFERROR(1-Assumptions!$B$12-(Assumptions!$B$22+Assumptions!$B$28)/N66,"")</f>
        <v>0.38903420523138837</v>
      </c>
      <c r="O67" s="40">
        <f>IFERROR(1-Assumptions!$B$12-(Assumptions!$B$22+Assumptions!$B$28)/O66,"")</f>
        <v>0.40074626865671648</v>
      </c>
      <c r="P67" s="40">
        <f>IFERROR(1-Assumptions!$B$12-(Assumptions!$B$22+Assumptions!$B$28)/P66,"")</f>
        <v>0.41062717770034851</v>
      </c>
      <c r="Q67" s="40">
        <f>IFERROR(1-Assumptions!$B$12-(Assumptions!$B$22+Assumptions!$B$28)/Q66,"")</f>
        <v>0.41949429037520397</v>
      </c>
      <c r="R67" s="40">
        <f>IFERROR(1-Assumptions!$B$12-(Assumptions!$B$22+Assumptions!$B$28)/R66,"")</f>
        <v>0.42711213517665136</v>
      </c>
      <c r="S67" s="40">
        <f>IFERROR(1-Assumptions!$B$12-(Assumptions!$B$22+Assumptions!$B$28)/S66,"")</f>
        <v>0.42711213517665136</v>
      </c>
      <c r="T67" s="40">
        <f>IFERROR(1-Assumptions!$B$12-(Assumptions!$B$22+Assumptions!$B$28)/T66,"")</f>
        <v>0.44071038251366124</v>
      </c>
      <c r="U67" s="40">
        <f>IFERROR(1-Assumptions!$B$12-(Assumptions!$B$22+Assumptions!$B$28)/U66,"")</f>
        <v>0.45476190476190481</v>
      </c>
      <c r="V67" s="40">
        <f>IFERROR(1-Assumptions!$B$12-(Assumptions!$B$22+Assumptions!$B$28)/V66,"")</f>
        <v>0.46666666666666673</v>
      </c>
      <c r="W67" s="40">
        <f>IFERROR(1-Assumptions!$B$12-(Assumptions!$B$22+Assumptions!$B$28)/W66,"")</f>
        <v>0.476605504587156</v>
      </c>
      <c r="X67" s="40">
        <f>IFERROR(1-Assumptions!$B$12-(Assumptions!$B$22+Assumptions!$B$28)/X66,"")</f>
        <v>0.4838842975206612</v>
      </c>
      <c r="Y67" s="40">
        <f>IFERROR(1-Assumptions!$B$12-(Assumptions!$B$22+Assumptions!$B$28)/Y66,"")</f>
        <v>0.48984962406015042</v>
      </c>
      <c r="Z67" s="40">
        <f>IFERROR(1-Assumptions!$B$12-(Assumptions!$B$22+Assumptions!$B$28)/Z66,"")</f>
        <v>0.4948275862068966</v>
      </c>
      <c r="AA67" s="40">
        <f>IFERROR(1-Assumptions!$B$12-(Assumptions!$B$22+Assumptions!$B$28)/AA66,"")</f>
        <v>0.49936708860759499</v>
      </c>
    </row>
    <row r="68" spans="1:27" ht="15.75" customHeight="1" x14ac:dyDescent="0.25">
      <c r="A68" s="38" t="s">
        <v>125</v>
      </c>
      <c r="B68" s="37">
        <f>MAX(B11,Assumptions!$B$52)</f>
        <v>200</v>
      </c>
      <c r="C68" s="37">
        <f>MAX(C11,Assumptions!$B$52)</f>
        <v>211</v>
      </c>
      <c r="D68" s="37">
        <f>MAX(D11,Assumptions!$B$52)</f>
        <v>246</v>
      </c>
      <c r="E68" s="37">
        <f>MAX(E11,Assumptions!$B$52)</f>
        <v>281</v>
      </c>
      <c r="F68" s="37">
        <f>MAX(F11,Assumptions!$B$52)</f>
        <v>316</v>
      </c>
      <c r="G68" s="37">
        <f>MAX(G11,Assumptions!$B$52)</f>
        <v>351</v>
      </c>
      <c r="H68" s="37">
        <f>MAX(H11,Assumptions!$B$52)</f>
        <v>381</v>
      </c>
      <c r="I68" s="37">
        <f>MAX(I11,Assumptions!$B$52)</f>
        <v>436</v>
      </c>
      <c r="J68" s="37">
        <f>MAX(J11,Assumptions!$B$52)</f>
        <v>491</v>
      </c>
      <c r="K68" s="37">
        <f>MAX(K11,Assumptions!$B$52)</f>
        <v>546</v>
      </c>
      <c r="L68" s="37">
        <f>MAX(L11,Assumptions!$B$52)</f>
        <v>601</v>
      </c>
      <c r="M68" s="37">
        <f>MAX(M11,Assumptions!$B$52)</f>
        <v>656</v>
      </c>
      <c r="N68" s="37">
        <f>MAX(N11,Assumptions!$B$52)</f>
        <v>711</v>
      </c>
      <c r="O68" s="37">
        <f>MAX(O11,Assumptions!$B$52)</f>
        <v>766</v>
      </c>
      <c r="P68" s="37">
        <f>MAX(P11,Assumptions!$B$52)</f>
        <v>821</v>
      </c>
      <c r="Q68" s="37">
        <f>MAX(Q11,Assumptions!$B$52)</f>
        <v>876</v>
      </c>
      <c r="R68" s="37">
        <f>MAX(R11,Assumptions!$B$52)</f>
        <v>931</v>
      </c>
      <c r="S68" s="37">
        <f>MAX(S11,Assumptions!$B$52)</f>
        <v>931</v>
      </c>
      <c r="T68" s="37">
        <f>MAX(T11,Assumptions!$B$52)</f>
        <v>1045</v>
      </c>
      <c r="U68" s="37">
        <f>MAX(U11,Assumptions!$B$52)</f>
        <v>1200</v>
      </c>
      <c r="V68" s="37">
        <f>MAX(V11,Assumptions!$B$52)</f>
        <v>1375</v>
      </c>
      <c r="W68" s="37">
        <f>MAX(W11,Assumptions!$B$52)</f>
        <v>1550</v>
      </c>
      <c r="X68" s="37">
        <f>MAX(X11,Assumptions!$B$52)</f>
        <v>1725</v>
      </c>
      <c r="Y68" s="37">
        <f>MAX(Y11,Assumptions!$B$52)</f>
        <v>1900</v>
      </c>
      <c r="Z68" s="37">
        <f>MAX(Z11,Assumptions!$B$52)</f>
        <v>2075</v>
      </c>
      <c r="AA68" s="37">
        <f>MAX(AA11,Assumptions!$B$52)</f>
        <v>2250</v>
      </c>
    </row>
    <row r="69" spans="1:27" ht="15.75" customHeight="1" x14ac:dyDescent="0.25">
      <c r="A69" s="38" t="s">
        <v>126</v>
      </c>
      <c r="B69" s="40">
        <f>IFERROR(1-Assumptions!$B$12-(Assumptions!$B$22+Assumptions!$B$28)/B68,"")</f>
        <v>0.15000000000000002</v>
      </c>
      <c r="C69" s="40">
        <f>IFERROR(1-Assumptions!$B$12-(Assumptions!$B$22+Assumptions!$B$28)/C68,"")</f>
        <v>0.17085308056872045</v>
      </c>
      <c r="D69" s="40">
        <f>IFERROR(1-Assumptions!$B$12-(Assumptions!$B$22+Assumptions!$B$28)/D68,"")</f>
        <v>0.22479674796747973</v>
      </c>
      <c r="E69" s="40">
        <f>IFERROR(1-Assumptions!$B$12-(Assumptions!$B$22+Assumptions!$B$28)/E68,"")</f>
        <v>0.26530249110320286</v>
      </c>
      <c r="F69" s="40">
        <f>IFERROR(1-Assumptions!$B$12-(Assumptions!$B$22+Assumptions!$B$28)/F68,"")</f>
        <v>0.29683544303797471</v>
      </c>
      <c r="G69" s="40">
        <f>IFERROR(1-Assumptions!$B$12-(Assumptions!$B$22+Assumptions!$B$28)/G68,"")</f>
        <v>0.32207977207977212</v>
      </c>
      <c r="H69" s="40">
        <f>IFERROR(1-Assumptions!$B$12-(Assumptions!$B$22+Assumptions!$B$28)/H68,"")</f>
        <v>0.34002624671916015</v>
      </c>
      <c r="I69" s="40">
        <f>IFERROR(1-Assumptions!$B$12-(Assumptions!$B$22+Assumptions!$B$28)/I68,"")</f>
        <v>0.36651376146788994</v>
      </c>
      <c r="J69" s="40">
        <f>IFERROR(1-Assumptions!$B$12-(Assumptions!$B$22+Assumptions!$B$28)/J68,"")</f>
        <v>0.38706720977596742</v>
      </c>
      <c r="K69" s="40">
        <f>IFERROR(1-Assumptions!$B$12-(Assumptions!$B$22+Assumptions!$B$28)/K68,"")</f>
        <v>0.40347985347985349</v>
      </c>
      <c r="L69" s="40">
        <f>IFERROR(1-Assumptions!$B$12-(Assumptions!$B$22+Assumptions!$B$28)/L68,"")</f>
        <v>0.41688851913477543</v>
      </c>
      <c r="M69" s="40">
        <f>IFERROR(1-Assumptions!$B$12-(Assumptions!$B$22+Assumptions!$B$28)/M68,"")</f>
        <v>0.42804878048780493</v>
      </c>
      <c r="N69" s="40">
        <f>IFERROR(1-Assumptions!$B$12-(Assumptions!$B$22+Assumptions!$B$28)/N68,"")</f>
        <v>0.4374824191279888</v>
      </c>
      <c r="O69" s="40">
        <f>IFERROR(1-Assumptions!$B$12-(Assumptions!$B$22+Assumptions!$B$28)/O68,"")</f>
        <v>0.44556135770234995</v>
      </c>
      <c r="P69" s="40">
        <f>IFERROR(1-Assumptions!$B$12-(Assumptions!$B$22+Assumptions!$B$28)/P68,"")</f>
        <v>0.45255785627283807</v>
      </c>
      <c r="Q69" s="40">
        <f>IFERROR(1-Assumptions!$B$12-(Assumptions!$B$22+Assumptions!$B$28)/Q68,"")</f>
        <v>0.45867579908675804</v>
      </c>
      <c r="R69" s="40">
        <f>IFERROR(1-Assumptions!$B$12-(Assumptions!$B$22+Assumptions!$B$28)/R68,"")</f>
        <v>0.46407089151450059</v>
      </c>
      <c r="S69" s="40">
        <f>IFERROR(1-Assumptions!$B$12-(Assumptions!$B$22+Assumptions!$B$28)/S68,"")</f>
        <v>0.46407089151450059</v>
      </c>
      <c r="T69" s="40">
        <f>IFERROR(1-Assumptions!$B$12-(Assumptions!$B$22+Assumptions!$B$28)/T68,"")</f>
        <v>0.47344497607655506</v>
      </c>
      <c r="U69" s="40">
        <f>IFERROR(1-Assumptions!$B$12-(Assumptions!$B$22+Assumptions!$B$28)/U68,"")</f>
        <v>0.48333333333333339</v>
      </c>
      <c r="V69" s="40">
        <f>IFERROR(1-Assumptions!$B$12-(Assumptions!$B$22+Assumptions!$B$28)/V68,"")</f>
        <v>0.49181818181818188</v>
      </c>
      <c r="W69" s="40">
        <f>IFERROR(1-Assumptions!$B$12-(Assumptions!$B$22+Assumptions!$B$28)/W68,"")</f>
        <v>0.49838709677419357</v>
      </c>
      <c r="X69" s="40">
        <f>IFERROR(1-Assumptions!$B$12-(Assumptions!$B$22+Assumptions!$B$28)/X68,"")</f>
        <v>0.50362318840579712</v>
      </c>
      <c r="Y69" s="40">
        <f>IFERROR(1-Assumptions!$B$12-(Assumptions!$B$22+Assumptions!$B$28)/Y68,"")</f>
        <v>0.50789473684210529</v>
      </c>
      <c r="Z69" s="40">
        <f>IFERROR(1-Assumptions!$B$12-(Assumptions!$B$22+Assumptions!$B$28)/Z68,"")</f>
        <v>0.5114457831325302</v>
      </c>
      <c r="AA69" s="40">
        <f>IFERROR(1-Assumptions!$B$12-(Assumptions!$B$22+Assumptions!$B$28)/AA68,"")</f>
        <v>0.51444444444444448</v>
      </c>
    </row>
    <row r="70" spans="1:27" ht="15.75" customHeight="1" x14ac:dyDescent="0.25">
      <c r="A70" s="38" t="s">
        <v>127</v>
      </c>
      <c r="B70" s="37">
        <f t="shared" ref="B70:AA70" si="5">B66-B14</f>
        <v>77</v>
      </c>
      <c r="C70" s="37">
        <f t="shared" si="5"/>
        <v>53</v>
      </c>
      <c r="D70" s="37">
        <f t="shared" si="5"/>
        <v>28</v>
      </c>
      <c r="E70" s="37">
        <f t="shared" si="5"/>
        <v>4</v>
      </c>
      <c r="F70" s="37">
        <f t="shared" si="5"/>
        <v>0</v>
      </c>
      <c r="G70" s="37">
        <f t="shared" si="5"/>
        <v>0</v>
      </c>
      <c r="H70" s="37">
        <f t="shared" si="5"/>
        <v>0</v>
      </c>
      <c r="I70" s="37">
        <f t="shared" si="5"/>
        <v>0</v>
      </c>
      <c r="J70" s="37">
        <f t="shared" si="5"/>
        <v>0</v>
      </c>
      <c r="K70" s="37">
        <f t="shared" si="5"/>
        <v>0</v>
      </c>
      <c r="L70" s="37">
        <f t="shared" si="5"/>
        <v>0</v>
      </c>
      <c r="M70" s="37">
        <f t="shared" si="5"/>
        <v>0</v>
      </c>
      <c r="N70" s="37">
        <f t="shared" si="5"/>
        <v>0</v>
      </c>
      <c r="O70" s="37">
        <f t="shared" si="5"/>
        <v>0</v>
      </c>
      <c r="P70" s="37">
        <f t="shared" si="5"/>
        <v>0</v>
      </c>
      <c r="Q70" s="37">
        <f t="shared" si="5"/>
        <v>0</v>
      </c>
      <c r="R70" s="37">
        <f t="shared" si="5"/>
        <v>0</v>
      </c>
      <c r="S70" s="37">
        <f t="shared" si="5"/>
        <v>0</v>
      </c>
      <c r="T70" s="37">
        <f t="shared" si="5"/>
        <v>0</v>
      </c>
      <c r="U70" s="37">
        <f t="shared" si="5"/>
        <v>0</v>
      </c>
      <c r="V70" s="37">
        <f t="shared" si="5"/>
        <v>0</v>
      </c>
      <c r="W70" s="37">
        <f t="shared" si="5"/>
        <v>0</v>
      </c>
      <c r="X70" s="37">
        <f t="shared" si="5"/>
        <v>0</v>
      </c>
      <c r="Y70" s="37">
        <f t="shared" si="5"/>
        <v>0</v>
      </c>
      <c r="Z70" s="37">
        <f t="shared" si="5"/>
        <v>0</v>
      </c>
      <c r="AA70" s="37">
        <f t="shared" si="5"/>
        <v>0</v>
      </c>
    </row>
    <row r="71" spans="1:27" ht="15.75" customHeight="1" x14ac:dyDescent="0.25"/>
    <row r="72" spans="1:27" ht="15.75" customHeight="1" x14ac:dyDescent="0.25"/>
    <row r="73" spans="1:27" ht="15.75" customHeight="1" x14ac:dyDescent="0.25"/>
    <row r="74" spans="1:27" ht="15.75" customHeight="1" x14ac:dyDescent="0.25"/>
    <row r="75" spans="1:27" ht="15.75" customHeight="1" x14ac:dyDescent="0.25"/>
    <row r="76" spans="1:27" ht="15.75" customHeight="1" x14ac:dyDescent="0.25"/>
    <row r="77" spans="1:27" ht="15.75" customHeight="1" x14ac:dyDescent="0.25"/>
    <row r="78" spans="1:27" ht="15.75" customHeight="1" x14ac:dyDescent="0.25"/>
    <row r="79" spans="1:27" ht="15.75" customHeight="1" x14ac:dyDescent="0.25"/>
    <row r="80" spans="1:27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9">
    <mergeCell ref="A1:Z1"/>
    <mergeCell ref="A25:Z25"/>
    <mergeCell ref="E34:P38"/>
    <mergeCell ref="A41:Z41"/>
    <mergeCell ref="C56:J56"/>
    <mergeCell ref="A40:Z40"/>
    <mergeCell ref="A9:Z9"/>
    <mergeCell ref="A31:Z31"/>
    <mergeCell ref="A48:Z48"/>
    <mergeCell ref="A24:Z24"/>
    <mergeCell ref="C59:J59"/>
    <mergeCell ref="A18:Z18"/>
    <mergeCell ref="A3:Z3"/>
    <mergeCell ref="A55:Z55"/>
    <mergeCell ref="A2:Z2"/>
    <mergeCell ref="C52:J52"/>
    <mergeCell ref="A32:Z32"/>
    <mergeCell ref="C49:J49"/>
    <mergeCell ref="C58:J58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Pricing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Todd Frederickson</cp:lastModifiedBy>
  <dcterms:created xsi:type="dcterms:W3CDTF">2026-07-25T16:12:23Z</dcterms:created>
  <dcterms:modified xsi:type="dcterms:W3CDTF">2026-08-22T00:07:33Z</dcterms:modified>
</cp:coreProperties>
</file>