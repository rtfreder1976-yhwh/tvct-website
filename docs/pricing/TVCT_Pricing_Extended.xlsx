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Pricing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\$#,##0.00"/>
    <numFmt numFmtId="165" formatCode="\$#,##0"/>
    <numFmt numFmtId="166" formatCode="\$0.00"/>
    <numFmt numFmtId="167" formatCode="0.000"/>
    <numFmt numFmtId="168" formatCode="0.0"/>
    <numFmt numFmtId="169" formatCode="0.0%"/>
  </numFmts>
  <fonts count="22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b val="1"/>
      <color rgb="FFFFFFFF"/>
      <sz val="11"/>
    </font>
    <font>
      <name val="Arial"/>
      <i val="1"/>
      <color rgb="FF555555"/>
      <sz val="8"/>
    </font>
    <font>
      <name val="Arial"/>
      <b val="1"/>
      <color rgb="FF333333"/>
      <sz val="9"/>
    </font>
    <font>
      <name val="Arial"/>
      <color rgb="FF333333"/>
      <sz val="9"/>
    </font>
    <font>
      <name val="Arial"/>
      <b val="1"/>
      <color rgb="FF1A5276"/>
      <sz val="10"/>
    </font>
    <font>
      <name val="Arial"/>
      <i val="1"/>
      <color rgb="FF7F8C8D"/>
      <sz val="8"/>
    </font>
    <font>
      <name val="Arial"/>
      <b val="1"/>
      <color rgb="FFFFFFFF"/>
      <sz val="9"/>
    </font>
    <font>
      <name val="Arial"/>
      <b val="1"/>
      <color rgb="FF333333"/>
      <sz val="11"/>
    </font>
    <font>
      <name val="Arial"/>
      <b val="1"/>
      <color rgb="FF1A5276"/>
      <sz val="9"/>
    </font>
    <font>
      <name val="Arial"/>
      <i val="1"/>
      <color rgb="FF888888"/>
      <sz val="8"/>
    </font>
    <font>
      <name val="Arial"/>
      <i val="1"/>
      <color rgb="FF555555"/>
      <sz val="9"/>
    </font>
    <font>
      <name val="Arial"/>
      <b val="1"/>
      <color rgb="FF784212"/>
      <sz val="11"/>
    </font>
    <font>
      <name val="Arial"/>
      <b val="1"/>
      <color rgb="FF784212"/>
      <sz val="9"/>
    </font>
    <font>
      <name val="Arial"/>
      <i val="1"/>
      <color rgb="FF784212"/>
      <sz val="8"/>
    </font>
    <font>
      <name val="Arial"/>
      <i val="1"/>
      <color rgb="FF7D6608"/>
      <sz val="8"/>
    </font>
    <font>
      <name val="Arial"/>
      <color rgb="FF7D6608"/>
      <sz val="9"/>
    </font>
    <font>
      <name val="Arial"/>
      <b val="1"/>
      <color rgb="FF1E8449"/>
      <sz val="11"/>
    </font>
    <font>
      <name val="Arial"/>
      <i val="1"/>
      <color rgb="FF1E8449"/>
      <sz val="8"/>
    </font>
    <font>
      <name val="Arial"/>
      <color rgb="FF1E8449"/>
      <sz val="9"/>
    </font>
  </fonts>
  <fills count="21">
    <fill>
      <patternFill/>
    </fill>
    <fill>
      <patternFill patternType="lightGray"/>
    </fill>
    <fill>
      <patternFill patternType="solid">
        <fgColor rgb="FFFF8C61"/>
        <bgColor rgb="FFFF8C61"/>
      </patternFill>
    </fill>
    <fill>
      <patternFill patternType="solid">
        <fgColor rgb="FFFFF8F5"/>
        <bgColor rgb="FFFFF8F5"/>
      </patternFill>
    </fill>
    <fill>
      <patternFill patternType="solid">
        <fgColor rgb="FFEAECEE"/>
        <bgColor rgb="FFEAECEE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F2F3F4"/>
        <bgColor rgb="FFF2F3F4"/>
      </patternFill>
    </fill>
    <fill>
      <patternFill patternType="solid">
        <fgColor rgb="FFFFA985"/>
        <bgColor rgb="FFFFA985"/>
      </patternFill>
    </fill>
    <fill>
      <patternFill patternType="solid">
        <fgColor rgb="FF2471A3"/>
        <bgColor rgb="FF2471A3"/>
      </patternFill>
    </fill>
    <fill>
      <patternFill patternType="solid">
        <fgColor rgb="FFD6EAF8"/>
        <bgColor rgb="FFD6EAF8"/>
      </patternFill>
    </fill>
    <fill>
      <patternFill patternType="solid">
        <fgColor rgb="FFC8DCF0"/>
        <bgColor rgb="FFC8DCF0"/>
      </patternFill>
    </fill>
    <fill>
      <patternFill patternType="solid">
        <fgColor rgb="FFFEF0E7"/>
        <bgColor rgb="FFFEF0E7"/>
      </patternFill>
    </fill>
    <fill>
      <patternFill patternType="solid">
        <fgColor rgb="FFF5CBA7"/>
        <bgColor rgb="FFF5CBA7"/>
      </patternFill>
    </fill>
    <fill>
      <patternFill patternType="solid">
        <fgColor rgb="FFF9EBEA"/>
        <bgColor rgb="FFF9EBEA"/>
      </patternFill>
    </fill>
    <fill>
      <patternFill patternType="solid">
        <fgColor rgb="FFFAD7A0"/>
        <bgColor rgb="FFFAD7A0"/>
      </patternFill>
    </fill>
    <fill>
      <patternFill patternType="solid">
        <fgColor rgb="FFFDEBD0"/>
        <bgColor rgb="FFFDEBD0"/>
      </patternFill>
    </fill>
    <fill>
      <patternFill patternType="solid">
        <fgColor rgb="FFFDFDE3"/>
        <bgColor rgb="FFFDFDE3"/>
      </patternFill>
    </fill>
    <fill>
      <patternFill patternType="solid">
        <fgColor rgb="FFD5D8DC"/>
        <bgColor rgb="FFD5D8DC"/>
      </patternFill>
    </fill>
    <fill>
      <patternFill patternType="solid">
        <fgColor rgb="FFE9F7EF"/>
        <bgColor rgb="FFE9F7EF"/>
      </patternFill>
    </fill>
    <fill>
      <patternFill patternType="solid">
        <fgColor rgb="FFA9DFBF"/>
        <bgColor rgb="FFA9DFBF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left" vertical="center"/>
    </xf>
    <xf numFmtId="164" fontId="7" fillId="6" borderId="4" applyAlignment="1" pivotButton="0" quotePrefix="0" xfId="0">
      <alignment horizontal="center" vertical="center"/>
    </xf>
    <xf numFmtId="0" fontId="5" fillId="7" borderId="4" applyAlignment="1" pivotButton="0" quotePrefix="0" xfId="0">
      <alignment horizontal="right" vertical="center"/>
    </xf>
    <xf numFmtId="0" fontId="8" fillId="5" borderId="4" applyAlignment="1" pivotButton="0" quotePrefix="0" xfId="0">
      <alignment horizontal="left" vertical="center" wrapText="1"/>
    </xf>
    <xf numFmtId="0" fontId="9" fillId="2" borderId="4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9" borderId="4" applyAlignment="1" pivotButton="0" quotePrefix="0" xfId="0">
      <alignment horizontal="center" vertical="center"/>
    </xf>
    <xf numFmtId="9" fontId="7" fillId="6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left" vertical="center"/>
    </xf>
    <xf numFmtId="165" fontId="5" fillId="5" borderId="4" applyAlignment="1" pivotButton="0" quotePrefix="0" xfId="0">
      <alignment horizontal="center" vertical="center"/>
    </xf>
    <xf numFmtId="165" fontId="7" fillId="6" borderId="4" applyAlignment="1" pivotButton="0" quotePrefix="0" xfId="0">
      <alignment horizontal="center" vertical="center"/>
    </xf>
    <xf numFmtId="165" fontId="11" fillId="10" borderId="4" applyAlignment="1" pivotButton="0" quotePrefix="0" xfId="0">
      <alignment horizontal="center" vertical="center"/>
    </xf>
    <xf numFmtId="0" fontId="12" fillId="7" borderId="4" applyAlignment="1" pivotButton="0" quotePrefix="0" xfId="0">
      <alignment horizontal="left" vertical="center"/>
    </xf>
    <xf numFmtId="0" fontId="13" fillId="3" borderId="4" applyAlignment="1" pivotButton="0" quotePrefix="0" xfId="0">
      <alignment horizontal="left" vertical="center"/>
    </xf>
    <xf numFmtId="166" fontId="12" fillId="7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left" vertical="center" wrapText="1"/>
    </xf>
    <xf numFmtId="0" fontId="5" fillId="6" borderId="4" applyAlignment="1" pivotButton="0" quotePrefix="0" xfId="0">
      <alignment horizontal="left" vertical="center"/>
    </xf>
    <xf numFmtId="166" fontId="12" fillId="11" borderId="4" applyAlignment="1" pivotButton="0" quotePrefix="0" xfId="0">
      <alignment horizontal="center" vertical="center"/>
    </xf>
    <xf numFmtId="164" fontId="7" fillId="10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left" vertical="center"/>
    </xf>
    <xf numFmtId="0" fontId="14" fillId="12" borderId="1" applyAlignment="1" pivotButton="0" quotePrefix="0" xfId="0">
      <alignment horizontal="left" vertical="center"/>
    </xf>
    <xf numFmtId="0" fontId="15" fillId="12" borderId="4" applyAlignment="1" pivotButton="0" quotePrefix="0" xfId="0">
      <alignment horizontal="left" vertical="center"/>
    </xf>
    <xf numFmtId="167" fontId="7" fillId="6" borderId="4" applyAlignment="1" pivotButton="0" quotePrefix="0" xfId="0">
      <alignment horizontal="center" vertical="center"/>
    </xf>
    <xf numFmtId="168" fontId="15" fillId="12" borderId="4" applyAlignment="1" pivotButton="0" quotePrefix="0" xfId="0">
      <alignment horizontal="center" vertical="center"/>
    </xf>
    <xf numFmtId="168" fontId="15" fillId="13" borderId="4" applyAlignment="1" pivotButton="0" quotePrefix="0" xfId="0">
      <alignment horizontal="center" vertical="center"/>
    </xf>
    <xf numFmtId="165" fontId="5" fillId="5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left" vertical="center"/>
    </xf>
    <xf numFmtId="165" fontId="6" fillId="3" borderId="4" applyAlignment="1" pivotButton="0" quotePrefix="0" xfId="0">
      <alignment horizontal="center" vertical="center"/>
    </xf>
    <xf numFmtId="0" fontId="6" fillId="14" borderId="4" applyAlignment="1" pivotButton="0" quotePrefix="0" xfId="0">
      <alignment horizontal="left" vertical="center"/>
    </xf>
    <xf numFmtId="165" fontId="6" fillId="14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left" vertical="center"/>
    </xf>
    <xf numFmtId="166" fontId="12" fillId="15" borderId="4" applyAlignment="1" pivotButton="0" quotePrefix="0" xfId="0">
      <alignment horizontal="center" vertical="center"/>
    </xf>
    <xf numFmtId="0" fontId="16" fillId="16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left" vertical="center" wrapText="1"/>
    </xf>
    <xf numFmtId="0" fontId="5" fillId="18" borderId="4" applyAlignment="1" pivotButton="0" quotePrefix="0" xfId="0">
      <alignment horizontal="center" vertical="center"/>
    </xf>
    <xf numFmtId="0" fontId="18" fillId="17" borderId="4" applyAlignment="1" pivotButton="0" quotePrefix="0" xfId="0">
      <alignment horizontal="left" vertical="center"/>
    </xf>
    <xf numFmtId="165" fontId="18" fillId="17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left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19" fillId="19" borderId="1" applyAlignment="1" pivotButton="0" quotePrefix="0" xfId="0">
      <alignment horizontal="left" vertical="center"/>
    </xf>
    <xf numFmtId="0" fontId="20" fillId="19" borderId="1" applyAlignment="1" pivotButton="0" quotePrefix="0" xfId="0">
      <alignment horizontal="left" vertical="center" wrapText="1"/>
    </xf>
    <xf numFmtId="0" fontId="21" fillId="19" borderId="4" applyAlignment="1" pivotButton="0" quotePrefix="0" xfId="0">
      <alignment horizontal="left" vertical="center"/>
    </xf>
    <xf numFmtId="169" fontId="21" fillId="19" borderId="4" applyAlignment="1" pivotButton="0" quotePrefix="0" xfId="0">
      <alignment horizontal="center" vertical="center"/>
    </xf>
    <xf numFmtId="169" fontId="21" fillId="20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left" vertical="center"/>
    </xf>
    <xf numFmtId="0" fontId="10" fillId="8" borderId="4" applyAlignment="1" pivotButton="0" quotePrefix="0" xfId="0">
      <alignment horizontal="left" vertical="center"/>
    </xf>
    <xf numFmtId="0" fontId="14" fillId="12" borderId="4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 wrapText="1"/>
    </xf>
    <xf numFmtId="3" fontId="9" fillId="2" borderId="4" applyAlignment="1" pivotButton="0" quotePrefix="0" xfId="0">
      <alignment horizontal="center" vertical="center"/>
    </xf>
    <xf numFmtId="3" fontId="9" fillId="9" borderId="4" applyAlignment="1" pivotButton="0" quotePrefix="0" xfId="0">
      <alignment horizontal="center" vertical="center"/>
    </xf>
    <xf numFmtId="0" fontId="16" fillId="16" borderId="4" applyAlignment="1" pivotButton="0" quotePrefix="0" xfId="0">
      <alignment horizontal="left" vertical="center" wrapText="1"/>
    </xf>
    <xf numFmtId="0" fontId="17" fillId="17" borderId="4" applyAlignment="1" pivotButton="0" quotePrefix="0" xfId="0">
      <alignment horizontal="left" vertical="center" wrapText="1"/>
    </xf>
    <xf numFmtId="0" fontId="19" fillId="19" borderId="4" applyAlignment="1" pivotButton="0" quotePrefix="0" xfId="0">
      <alignment horizontal="left" vertical="center"/>
    </xf>
    <xf numFmtId="0" fontId="20" fillId="19" borderId="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workbookViewId="0">
      <selection activeCell="A1" sqref="A1"/>
    </sheetView>
  </sheetViews>
  <sheetFormatPr baseColWidth="8" defaultColWidth="14.43" defaultRowHeight="15" customHeight="1"/>
  <cols>
    <col width="40" customWidth="1" style="58" min="1" max="1"/>
    <col width="18" customWidth="1" style="58" min="2" max="2"/>
    <col width="52" customWidth="1" style="58" min="3" max="3"/>
    <col width="8.710000000000001" customWidth="1" style="58" min="4" max="26"/>
  </cols>
  <sheetData>
    <row r="1" ht="31.5" customHeight="1" s="58">
      <c r="A1" s="59" t="inlineStr">
        <is>
          <t>THE VALLEY CLEAN TEAM — PRICING ASSUMPTIONS</t>
        </is>
      </c>
    </row>
    <row r="2" ht="6" customHeight="1" s="58">
      <c r="A2" t="inlineStr">
        <is>
          <t>Reconciled to BookingKoala 2026-08-21 — BK is authoritative</t>
        </is>
      </c>
    </row>
    <row r="3" ht="21.75" customHeight="1" s="58">
      <c r="A3" s="60" t="inlineStr">
        <is>
          <t>CLIENT-FACING BILLING RATES</t>
        </is>
      </c>
    </row>
    <row r="4" ht="15.75" customHeight="1" s="58">
      <c r="A4" s="6" t="inlineStr">
        <is>
          <t>Input</t>
        </is>
      </c>
      <c r="B4" s="6" t="inlineStr">
        <is>
          <t>Value</t>
        </is>
      </c>
      <c r="C4" s="6" t="inlineStr">
        <is>
          <t>Notes</t>
        </is>
      </c>
    </row>
    <row r="5" ht="15.75" customHeight="1" s="58">
      <c r="A5" s="7" t="inlineStr">
        <is>
          <t>Standard hourly billing rate</t>
        </is>
      </c>
      <c r="B5" s="8" t="n">
        <v>62.5</v>
      </c>
      <c r="C5" s="10" t="inlineStr">
        <is>
          <t>Rate per cleaner-hour quoted to clients</t>
        </is>
      </c>
    </row>
    <row r="6" ht="15.75" customHeight="1" s="58">
      <c r="A6" s="7" t="inlineStr">
        <is>
          <t>Post-construction hourly rate</t>
        </is>
      </c>
      <c r="B6" s="8" t="n">
        <v>95</v>
      </c>
      <c r="C6" s="10" t="inlineStr">
        <is>
          <t>Higher rate for specialty post-construction work</t>
        </is>
      </c>
    </row>
    <row r="7" ht="7.5" customHeight="1" s="58"/>
    <row r="8" ht="21.75" customHeight="1" s="58">
      <c r="A8" s="61" t="inlineStr">
        <is>
          <t>SUBCONTRACTOR MODEL</t>
        </is>
      </c>
    </row>
    <row r="9" ht="15.75" customHeight="1" s="58">
      <c r="A9" s="6" t="inlineStr">
        <is>
          <t>Input</t>
        </is>
      </c>
      <c r="B9" s="6" t="inlineStr">
        <is>
          <t>Value</t>
        </is>
      </c>
      <c r="C9" s="6" t="inlineStr">
        <is>
          <t>Notes</t>
        </is>
      </c>
    </row>
    <row r="10" ht="15.75" customHeight="1" s="58">
      <c r="A10" s="7" t="inlineStr">
        <is>
          <t>Sub rate — low end</t>
        </is>
      </c>
      <c r="B10" s="14" t="n">
        <v>0.4</v>
      </c>
      <c r="C10" s="10" t="inlineStr">
        <is>
          <t>Lowest percentage you pay a sub</t>
        </is>
      </c>
    </row>
    <row r="11" ht="15.75" customHeight="1" s="58">
      <c r="A11" s="7" t="inlineStr">
        <is>
          <t>Sub rate — high end</t>
        </is>
      </c>
      <c r="B11" s="14" t="n">
        <v>0.5</v>
      </c>
      <c r="C11" s="10" t="inlineStr">
        <is>
          <t>Highest percentage you pay a sub</t>
        </is>
      </c>
    </row>
    <row r="12" ht="15.75" customHeight="1" s="58">
      <c r="A12" s="7" t="inlineStr">
        <is>
          <t>Sub rate for margin calculations</t>
        </is>
      </c>
      <c r="B12" s="14" t="n">
        <v>0.45</v>
      </c>
      <c r="C12" s="10" t="inlineStr">
        <is>
          <t>Midpoint — adjust to your most common rate</t>
        </is>
      </c>
    </row>
    <row r="13" ht="15.75" customHeight="1" s="58">
      <c r="A13" s="7" t="inlineStr">
        <is>
          <t>Target gross margin</t>
        </is>
      </c>
      <c r="B13" s="14" t="n">
        <v>0.38</v>
      </c>
      <c r="C13" s="10" t="inlineStr">
        <is>
          <t>(Revenue − All Costs) ÷ Revenue</t>
        </is>
      </c>
    </row>
    <row r="14" ht="7.5" customHeight="1" s="58"/>
    <row r="15" ht="21.75" customHeight="1" s="58">
      <c r="A15" s="60" t="inlineStr">
        <is>
          <t>TRAVEL FEES BY ZONE  ·  Flat per-job fee paid to sub for gas</t>
        </is>
      </c>
    </row>
    <row r="16" ht="15.75" customHeight="1" s="58">
      <c r="A16" s="6" t="inlineStr">
        <is>
          <t>Input</t>
        </is>
      </c>
      <c r="B16" s="6" t="inlineStr">
        <is>
          <t>Value</t>
        </is>
      </c>
      <c r="C16" s="6" t="inlineStr">
        <is>
          <t>Notes</t>
        </is>
      </c>
    </row>
    <row r="17" ht="15.75" customHeight="1" s="58">
      <c r="A17" s="7" t="inlineStr">
        <is>
          <t>Zone 1 — Nashville core (closest)</t>
        </is>
      </c>
      <c r="B17" s="17" t="n">
        <v>5</v>
      </c>
      <c r="C17" s="10" t="inlineStr">
        <is>
          <t>Local jobs</t>
        </is>
      </c>
    </row>
    <row r="18" ht="15.75" customHeight="1" s="58">
      <c r="A18" s="7" t="inlineStr">
        <is>
          <t>Zone 2</t>
        </is>
      </c>
      <c r="B18" s="17" t="n">
        <v>8</v>
      </c>
      <c r="C18" s="10" t="n"/>
    </row>
    <row r="19" ht="15.75" customHeight="1" s="58">
      <c r="A19" s="7" t="inlineStr">
        <is>
          <t>Zone 3 — Mid-range</t>
        </is>
      </c>
      <c r="B19" s="17" t="n">
        <v>10</v>
      </c>
      <c r="C19" s="10" t="n"/>
    </row>
    <row r="20" ht="15.75" customHeight="1" s="58">
      <c r="A20" s="7" t="inlineStr">
        <is>
          <t>Zone 4</t>
        </is>
      </c>
      <c r="B20" s="17" t="n">
        <v>12</v>
      </c>
      <c r="C20" s="10" t="n"/>
    </row>
    <row r="21" ht="15.75" customHeight="1" s="58">
      <c r="A21" s="7" t="inlineStr">
        <is>
          <t>Zone 5 — Furthest out</t>
        </is>
      </c>
      <c r="B21" s="17" t="n">
        <v>15</v>
      </c>
      <c r="C21" s="10" t="inlineStr">
        <is>
          <t>Furthest service area</t>
        </is>
      </c>
    </row>
    <row r="22" ht="15.75" customHeight="1" s="58">
      <c r="A22" s="20" t="inlineStr">
        <is>
          <t>Zone used for margin calculations</t>
        </is>
      </c>
      <c r="B22" s="17">
        <f>B19</f>
        <v/>
      </c>
      <c r="C22" s="22" t="inlineStr">
        <is>
          <t>Defaults to Zone 3 — change formula to B17–B21 for different zone</t>
        </is>
      </c>
    </row>
    <row r="23" ht="7.5" customHeight="1" s="58"/>
    <row r="24" ht="21.75" customHeight="1" s="58">
      <c r="A24" s="60" t="inlineStr">
        <is>
          <t>TODD'S FIXED COSTS PER JOB  ·  Costs NOT covered by the sub</t>
        </is>
      </c>
    </row>
    <row r="25" ht="15.75" customHeight="1" s="58">
      <c r="A25" s="6" t="inlineStr">
        <is>
          <t>Input</t>
        </is>
      </c>
      <c r="B25" s="6" t="inlineStr">
        <is>
          <t>Value</t>
        </is>
      </c>
      <c r="C25" s="6" t="inlineStr">
        <is>
          <t>Notes</t>
        </is>
      </c>
    </row>
    <row r="26" ht="15.75" customHeight="1" s="58">
      <c r="A26" s="7" t="inlineStr">
        <is>
          <t>Software &amp; tech (GHL, scheduling, etc.)</t>
        </is>
      </c>
      <c r="B26" s="8" t="n">
        <v>45</v>
      </c>
      <c r="C26" s="10" t="inlineStr">
        <is>
          <t>Monthly cost ÷ avg jobs per month  —  update this number</t>
        </is>
      </c>
    </row>
    <row r="27" ht="15.75" customHeight="1" s="58">
      <c r="A27" s="7" t="inlineStr">
        <is>
          <t>Marketing &amp; sales allocation</t>
        </is>
      </c>
      <c r="B27" s="8" t="n">
        <v>25</v>
      </c>
      <c r="C27" s="10" t="inlineStr">
        <is>
          <t>Monthly ad/lead spend ÷ avg jobs per month</t>
        </is>
      </c>
    </row>
    <row r="28" ht="15.75" customHeight="1" s="58">
      <c r="A28" s="23" t="inlineStr">
        <is>
          <t>Total fixed cost per job</t>
        </is>
      </c>
      <c r="B28" s="25">
        <f>B26+B27</f>
        <v/>
      </c>
      <c r="C28" s="26" t="inlineStr">
        <is>
          <t>Auto-calculated — do not edit</t>
        </is>
      </c>
    </row>
    <row r="29" ht="7.5" customHeight="1" s="58"/>
    <row r="30" ht="21.75" customHeight="1" s="58">
      <c r="A30" s="62" t="inlineStr">
        <is>
          <t>TIME ESTIMATES  ·  Hours per 1,000 sq ft  —  used for scheduling</t>
        </is>
      </c>
    </row>
    <row r="31" ht="15.75" customHeight="1" s="58">
      <c r="A31" s="6" t="inlineStr">
        <is>
          <t>Service</t>
        </is>
      </c>
      <c r="B31" s="6" t="inlineStr">
        <is>
          <t>Hrs / 1,000 sq ft</t>
        </is>
      </c>
      <c r="C31" s="6" t="inlineStr">
        <is>
          <t>Example</t>
        </is>
      </c>
    </row>
    <row r="32" ht="15.75" customHeight="1" s="58">
      <c r="A32" s="7" t="inlineStr">
        <is>
          <t>Deep clean / first visit</t>
        </is>
      </c>
      <c r="B32" s="29" t="n">
        <v>2.625</v>
      </c>
      <c r="C32" s="10" t="inlineStr">
        <is>
          <t>~21 hrs for an 8,000 sq ft home</t>
        </is>
      </c>
    </row>
    <row r="33" ht="15.75" customHeight="1" s="58">
      <c r="A33" s="7" t="inlineStr">
        <is>
          <t>Standard / recurring clean</t>
        </is>
      </c>
      <c r="B33" s="29" t="n">
        <v>1.875</v>
      </c>
      <c r="C33" s="10" t="inlineStr">
        <is>
          <t>~15 hrs for an 8,000 sq ft home</t>
        </is>
      </c>
    </row>
    <row r="34" ht="15.75" customHeight="1" s="58">
      <c r="A34" s="7" t="inlineStr">
        <is>
          <t>Move in / out</t>
        </is>
      </c>
      <c r="B34" s="29" t="n">
        <v>2.625</v>
      </c>
      <c r="C34" s="10" t="inlineStr">
        <is>
          <t>Same scope as deep clean</t>
        </is>
      </c>
    </row>
    <row r="35" ht="15.75" customHeight="1" s="58">
      <c r="A35" s="7" t="inlineStr">
        <is>
          <t>Post-construction final clean</t>
        </is>
      </c>
      <c r="B35" s="29" t="n">
        <v>3.125</v>
      </c>
      <c r="C35" s="10" t="inlineStr">
        <is>
          <t>~25 hrs for an 8,000 sq ft new build</t>
        </is>
      </c>
    </row>
    <row r="36" ht="7.5" customHeight="1" s="58"/>
    <row r="37" ht="21.75" customHeight="1" s="58">
      <c r="A37" s="60" t="inlineStr">
        <is>
          <t>RECURRING DISCOUNTS  ·  Applied to Standard Clean price</t>
        </is>
      </c>
    </row>
    <row r="38" ht="15.75" customHeight="1" s="58">
      <c r="A38" s="6" t="inlineStr">
        <is>
          <t>Input</t>
        </is>
      </c>
      <c r="B38" s="6" t="inlineStr">
        <is>
          <t>Value</t>
        </is>
      </c>
      <c r="C38" s="6" t="inlineStr">
        <is>
          <t>Notes</t>
        </is>
      </c>
    </row>
    <row r="39" ht="15.75" customHeight="1" s="58">
      <c r="A39" s="7" t="inlineStr">
        <is>
          <t>Monthly</t>
        </is>
      </c>
      <c r="B39" s="14" t="n">
        <v>0.15</v>
      </c>
      <c r="C39" s="10" t="inlineStr">
        <is>
          <t>15% off standard</t>
        </is>
      </c>
    </row>
    <row r="40" ht="15.75" customHeight="1" s="58">
      <c r="A40" s="7" t="inlineStr">
        <is>
          <t>Bi-weekly</t>
        </is>
      </c>
      <c r="B40" s="14" t="n">
        <v>0.25</v>
      </c>
      <c r="C40" s="10" t="inlineStr">
        <is>
          <t>25% off standard</t>
        </is>
      </c>
    </row>
    <row r="41" ht="15.75" customHeight="1" s="58">
      <c r="A41" s="7" t="inlineStr">
        <is>
          <t>Weekly</t>
        </is>
      </c>
      <c r="B41" s="14" t="n">
        <v>0.3</v>
      </c>
      <c r="C41" s="10" t="inlineStr">
        <is>
          <t>30% off standard</t>
        </is>
      </c>
    </row>
    <row r="42" ht="7.5" customHeight="1" s="58"/>
    <row r="43" ht="21.75" customHeight="1" s="58">
      <c r="A43" s="60" t="inlineStr">
        <is>
          <t>MINIMUM PRICES</t>
        </is>
      </c>
    </row>
    <row r="44" ht="15.75" customHeight="1" s="58">
      <c r="A44" s="7" t="inlineStr">
        <is>
          <t>Deep clean minimum</t>
        </is>
      </c>
      <c r="B44" s="17" t="n">
        <v>200</v>
      </c>
      <c r="C44" s="10" t="n"/>
    </row>
    <row r="45" ht="15.75" customHeight="1" s="58">
      <c r="A45" s="7" t="inlineStr">
        <is>
          <t>Standard clean minimum</t>
        </is>
      </c>
      <c r="B45" s="17" t="n">
        <v>200</v>
      </c>
      <c r="C45" s="10" t="n"/>
    </row>
    <row r="46" ht="15.75" customHeight="1" s="58">
      <c r="A46" s="7" t="inlineStr">
        <is>
          <t>Weekly recurring minimum</t>
        </is>
      </c>
      <c r="B46" s="17" t="n">
        <v>150</v>
      </c>
      <c r="C46" s="10" t="n"/>
    </row>
    <row r="47" ht="15.75" customHeight="1" s="58">
      <c r="A47" s="7" t="inlineStr">
        <is>
          <t>Move in/out minimum</t>
        </is>
      </c>
      <c r="B47" s="17" t="n">
        <v>350</v>
      </c>
      <c r="C47" s="10" t="n"/>
    </row>
    <row r="48" ht="15.75" customHeight="1" s="58">
      <c r="A48" s="7" t="inlineStr">
        <is>
          <t>Post-construction minimum</t>
        </is>
      </c>
      <c r="B48" s="17" t="n">
        <v>450</v>
      </c>
      <c r="C48" s="10" t="n"/>
    </row>
    <row r="49" ht="15.75" customHeight="1" s="58"/>
    <row r="50" ht="15.75" customHeight="1" s="58"/>
    <row r="51" ht="15.75" customHeight="1" s="58"/>
    <row r="52" ht="15.75" customHeight="1" s="58"/>
    <row r="53" ht="15.75" customHeight="1" s="58"/>
    <row r="54" ht="15.75" customHeight="1" s="58"/>
    <row r="55" ht="15.75" customHeight="1" s="58"/>
    <row r="56" ht="15.75" customHeight="1" s="58"/>
    <row r="57" ht="15.75" customHeight="1" s="58"/>
    <row r="58" ht="15.75" customHeight="1" s="58"/>
    <row r="59" ht="15.75" customHeight="1" s="58"/>
    <row r="60" ht="15.75" customHeight="1" s="58"/>
    <row r="61" ht="15.75" customHeight="1" s="58"/>
    <row r="62" ht="15.75" customHeight="1" s="58"/>
    <row r="63" ht="15.75" customHeight="1" s="58"/>
    <row r="64" ht="15.75" customHeight="1" s="58"/>
    <row r="65" ht="15.75" customHeight="1" s="58"/>
    <row r="66" ht="15.75" customHeight="1" s="58"/>
    <row r="67" ht="15.75" customHeight="1" s="58"/>
    <row r="68" ht="15.75" customHeight="1" s="58"/>
    <row r="69" ht="15.75" customHeight="1" s="58"/>
    <row r="70" ht="15.75" customHeight="1" s="58"/>
    <row r="71" ht="15.75" customHeight="1" s="58"/>
    <row r="72" ht="15.75" customHeight="1" s="58"/>
    <row r="73" ht="15.75" customHeight="1" s="58"/>
    <row r="74" ht="15.75" customHeight="1" s="58"/>
    <row r="75" ht="15.75" customHeight="1" s="58"/>
    <row r="76" ht="15.75" customHeight="1" s="58"/>
    <row r="77" ht="15.75" customHeight="1" s="58"/>
    <row r="78" ht="15.75" customHeight="1" s="58"/>
    <row r="79" ht="15.75" customHeight="1" s="58"/>
    <row r="80" ht="15.75" customHeight="1" s="58"/>
    <row r="81" ht="15.75" customHeight="1" s="58"/>
    <row r="82" ht="15.75" customHeight="1" s="58"/>
    <row r="83" ht="15.75" customHeight="1" s="58"/>
    <row r="84" ht="15.75" customHeight="1" s="58"/>
    <row r="85" ht="15.75" customHeight="1" s="58"/>
    <row r="86" ht="15.75" customHeight="1" s="58"/>
    <row r="87" ht="15.75" customHeight="1" s="58"/>
    <row r="88" ht="15.75" customHeight="1" s="58"/>
    <row r="89" ht="15.75" customHeight="1" s="58"/>
    <row r="90" ht="15.75" customHeight="1" s="58"/>
    <row r="91" ht="15.75" customHeight="1" s="58"/>
    <row r="92" ht="15.75" customHeight="1" s="58"/>
    <row r="93" ht="15.75" customHeight="1" s="58"/>
    <row r="94" ht="15.75" customHeight="1" s="58"/>
    <row r="95" ht="15.75" customHeight="1" s="58"/>
    <row r="96" ht="15.75" customHeight="1" s="58"/>
    <row r="97" ht="15.75" customHeight="1" s="58"/>
    <row r="98" ht="15.75" customHeight="1" s="58"/>
    <row r="99" ht="15.75" customHeight="1" s="58"/>
    <row r="100" ht="15.75" customHeight="1" s="58"/>
    <row r="101" ht="15.75" customHeight="1" s="58"/>
    <row r="102" ht="15.75" customHeight="1" s="58"/>
    <row r="103" ht="15.75" customHeight="1" s="58"/>
    <row r="104" ht="15.75" customHeight="1" s="58"/>
    <row r="105" ht="15.75" customHeight="1" s="58"/>
    <row r="106" ht="15.75" customHeight="1" s="58"/>
    <row r="107" ht="15.75" customHeight="1" s="58"/>
    <row r="108" ht="15.75" customHeight="1" s="58"/>
    <row r="109" ht="15.75" customHeight="1" s="58"/>
    <row r="110" ht="15.75" customHeight="1" s="58"/>
    <row r="111" ht="15.75" customHeight="1" s="58"/>
    <row r="112" ht="15.75" customHeight="1" s="58"/>
    <row r="113" ht="15.75" customHeight="1" s="58"/>
    <row r="114" ht="15.75" customHeight="1" s="58"/>
    <row r="115" ht="15.75" customHeight="1" s="58"/>
    <row r="116" ht="15.75" customHeight="1" s="58"/>
    <row r="117" ht="15.75" customHeight="1" s="58"/>
    <row r="118" ht="15.75" customHeight="1" s="58"/>
    <row r="119" ht="15.75" customHeight="1" s="58"/>
    <row r="120" ht="15.75" customHeight="1" s="58"/>
    <row r="121" ht="15.75" customHeight="1" s="58"/>
    <row r="122" ht="15.75" customHeight="1" s="58"/>
    <row r="123" ht="15.75" customHeight="1" s="58"/>
    <row r="124" ht="15.75" customHeight="1" s="58"/>
    <row r="125" ht="15.75" customHeight="1" s="58"/>
    <row r="126" ht="15.75" customHeight="1" s="58"/>
    <row r="127" ht="15.75" customHeight="1" s="58"/>
    <row r="128" ht="15.75" customHeight="1" s="58"/>
    <row r="129" ht="15.75" customHeight="1" s="58"/>
    <row r="130" ht="15.75" customHeight="1" s="58"/>
    <row r="131" ht="15.75" customHeight="1" s="58"/>
    <row r="132" ht="15.75" customHeight="1" s="58"/>
    <row r="133" ht="15.75" customHeight="1" s="58"/>
    <row r="134" ht="15.75" customHeight="1" s="58"/>
    <row r="135" ht="15.75" customHeight="1" s="58"/>
    <row r="136" ht="15.75" customHeight="1" s="58"/>
    <row r="137" ht="15.75" customHeight="1" s="58"/>
    <row r="138" ht="15.75" customHeight="1" s="58"/>
    <row r="139" ht="15.75" customHeight="1" s="58"/>
    <row r="140" ht="15.75" customHeight="1" s="58"/>
    <row r="141" ht="15.75" customHeight="1" s="58"/>
    <row r="142" ht="15.75" customHeight="1" s="58"/>
    <row r="143" ht="15.75" customHeight="1" s="58"/>
    <row r="144" ht="15.75" customHeight="1" s="58"/>
    <row r="145" ht="15.75" customHeight="1" s="58"/>
    <row r="146" ht="15.75" customHeight="1" s="58"/>
    <row r="147" ht="15.75" customHeight="1" s="58"/>
    <row r="148" ht="15.75" customHeight="1" s="58"/>
    <row r="149" ht="15.75" customHeight="1" s="58"/>
    <row r="150" ht="15.75" customHeight="1" s="58"/>
    <row r="151" ht="15.75" customHeight="1" s="58"/>
    <row r="152" ht="15.75" customHeight="1" s="58"/>
    <row r="153" ht="15.75" customHeight="1" s="58"/>
    <row r="154" ht="15.75" customHeight="1" s="58"/>
    <row r="155" ht="15.75" customHeight="1" s="58"/>
    <row r="156" ht="15.75" customHeight="1" s="58"/>
    <row r="157" ht="15.75" customHeight="1" s="58"/>
    <row r="158" ht="15.75" customHeight="1" s="58"/>
    <row r="159" ht="15.75" customHeight="1" s="58"/>
    <row r="160" ht="15.75" customHeight="1" s="58"/>
    <row r="161" ht="15.75" customHeight="1" s="58"/>
    <row r="162" ht="15.75" customHeight="1" s="58"/>
    <row r="163" ht="15.75" customHeight="1" s="58"/>
    <row r="164" ht="15.75" customHeight="1" s="58"/>
    <row r="165" ht="15.75" customHeight="1" s="58"/>
    <row r="166" ht="15.75" customHeight="1" s="58"/>
    <row r="167" ht="15.75" customHeight="1" s="58"/>
    <row r="168" ht="15.75" customHeight="1" s="58"/>
    <row r="169" ht="15.75" customHeight="1" s="58"/>
    <row r="170" ht="15.75" customHeight="1" s="58"/>
    <row r="171" ht="15.75" customHeight="1" s="58"/>
    <row r="172" ht="15.75" customHeight="1" s="58"/>
    <row r="173" ht="15.75" customHeight="1" s="58"/>
    <row r="174" ht="15.75" customHeight="1" s="58"/>
    <row r="175" ht="15.75" customHeight="1" s="58"/>
    <row r="176" ht="15.75" customHeight="1" s="58"/>
    <row r="177" ht="15.75" customHeight="1" s="58"/>
    <row r="178" ht="15.75" customHeight="1" s="58"/>
    <row r="179" ht="15.75" customHeight="1" s="58"/>
    <row r="180" ht="15.75" customHeight="1" s="58"/>
    <row r="181" ht="15.75" customHeight="1" s="58"/>
    <row r="182" ht="15.75" customHeight="1" s="58"/>
    <row r="183" ht="15.75" customHeight="1" s="58"/>
    <row r="184" ht="15.75" customHeight="1" s="58"/>
    <row r="185" ht="15.75" customHeight="1" s="58"/>
    <row r="186" ht="15.75" customHeight="1" s="58"/>
    <row r="187" ht="15.75" customHeight="1" s="58"/>
    <row r="188" ht="15.75" customHeight="1" s="58"/>
    <row r="189" ht="15.75" customHeight="1" s="58"/>
    <row r="190" ht="15.75" customHeight="1" s="58"/>
    <row r="191" ht="15.75" customHeight="1" s="58"/>
    <row r="192" ht="15.75" customHeight="1" s="58"/>
    <row r="193" ht="15.75" customHeight="1" s="58"/>
    <row r="194" ht="15.75" customHeight="1" s="58"/>
    <row r="195" ht="15.75" customHeight="1" s="58"/>
    <row r="196" ht="15.75" customHeight="1" s="58"/>
    <row r="197" ht="15.75" customHeight="1" s="58"/>
    <row r="198" ht="15.75" customHeight="1" s="58"/>
    <row r="199" ht="15.75" customHeight="1" s="58"/>
    <row r="200" ht="15.75" customHeight="1" s="58"/>
    <row r="201" ht="15.75" customHeight="1" s="58"/>
    <row r="202" ht="15.75" customHeight="1" s="58"/>
    <row r="203" ht="15.75" customHeight="1" s="58"/>
    <row r="204" ht="15.75" customHeight="1" s="58"/>
    <row r="205" ht="15.75" customHeight="1" s="58"/>
    <row r="206" ht="15.75" customHeight="1" s="58"/>
    <row r="207" ht="15.75" customHeight="1" s="58"/>
    <row r="208" ht="15.75" customHeight="1" s="58"/>
    <row r="209" ht="15.75" customHeight="1" s="58"/>
    <row r="210" ht="15.75" customHeight="1" s="58"/>
    <row r="211" ht="15.75" customHeight="1" s="58"/>
    <row r="212" ht="15.75" customHeight="1" s="58"/>
    <row r="213" ht="15.75" customHeight="1" s="58"/>
    <row r="214" ht="15.75" customHeight="1" s="58"/>
    <row r="215" ht="15.75" customHeight="1" s="58"/>
    <row r="216" ht="15.75" customHeight="1" s="58"/>
    <row r="217" ht="15.75" customHeight="1" s="58"/>
    <row r="218" ht="15.75" customHeight="1" s="58"/>
    <row r="219" ht="15.75" customHeight="1" s="58"/>
    <row r="220" ht="15.75" customHeight="1" s="58"/>
    <row r="221" ht="15.75" customHeight="1" s="58"/>
    <row r="222" ht="15.75" customHeight="1" s="58"/>
    <row r="223" ht="15.75" customHeight="1" s="58"/>
    <row r="224" ht="15.75" customHeight="1" s="58"/>
    <row r="225" ht="15.75" customHeight="1" s="58"/>
    <row r="226" ht="15.75" customHeight="1" s="58"/>
    <row r="227" ht="15.75" customHeight="1" s="58"/>
    <row r="228" ht="15.75" customHeight="1" s="58"/>
    <row r="229" ht="15.75" customHeight="1" s="58"/>
    <row r="230" ht="15.75" customHeight="1" s="58"/>
    <row r="231" ht="15.75" customHeight="1" s="58"/>
    <row r="232" ht="15.75" customHeight="1" s="58"/>
    <row r="233" ht="15.75" customHeight="1" s="58"/>
    <row r="234" ht="15.75" customHeight="1" s="58"/>
    <row r="235" ht="15.75" customHeight="1" s="58"/>
    <row r="236" ht="15.75" customHeight="1" s="58"/>
    <row r="237" ht="15.75" customHeight="1" s="58"/>
    <row r="238" ht="15.75" customHeight="1" s="58"/>
    <row r="239" ht="15.75" customHeight="1" s="58"/>
    <row r="240" ht="15.75" customHeight="1" s="58"/>
    <row r="241" ht="15.75" customHeight="1" s="58"/>
    <row r="242" ht="15.75" customHeight="1" s="58"/>
    <row r="243" ht="15.75" customHeight="1" s="58"/>
    <row r="244" ht="15.75" customHeight="1" s="58"/>
    <row r="245" ht="15.75" customHeight="1" s="58"/>
    <row r="246" ht="15.75" customHeight="1" s="58"/>
    <row r="247" ht="15.75" customHeight="1" s="58"/>
    <row r="248" ht="15.75" customHeight="1" s="58"/>
    <row r="249" ht="15.75" customHeight="1" s="58"/>
    <row r="250" ht="15.75" customHeight="1" s="58"/>
    <row r="251" ht="15.75" customHeight="1" s="58"/>
    <row r="252" ht="15.75" customHeight="1" s="58"/>
    <row r="253" ht="15.75" customHeight="1" s="58"/>
    <row r="254" ht="15.75" customHeight="1" s="58"/>
    <row r="255" ht="15.75" customHeight="1" s="58"/>
    <row r="256" ht="15.75" customHeight="1" s="58"/>
    <row r="257" ht="15.75" customHeight="1" s="58"/>
    <row r="258" ht="15.75" customHeight="1" s="58"/>
    <row r="259" ht="15.75" customHeight="1" s="58"/>
    <row r="260" ht="15.75" customHeight="1" s="58"/>
    <row r="261" ht="15.75" customHeight="1" s="58"/>
    <row r="262" ht="15.75" customHeight="1" s="58"/>
    <row r="263" ht="15.75" customHeight="1" s="58"/>
    <row r="264" ht="15.75" customHeight="1" s="58"/>
    <row r="265" ht="15.75" customHeight="1" s="58"/>
    <row r="266" ht="15.75" customHeight="1" s="58"/>
    <row r="267" ht="15.75" customHeight="1" s="58"/>
    <row r="268" ht="15.75" customHeight="1" s="58"/>
    <row r="269" ht="15.75" customHeight="1" s="58"/>
    <row r="270" ht="15.75" customHeight="1" s="58"/>
    <row r="271" ht="15.75" customHeight="1" s="58"/>
    <row r="272" ht="15.75" customHeight="1" s="58"/>
    <row r="273" ht="15.75" customHeight="1" s="58"/>
    <row r="274" ht="15.75" customHeight="1" s="58"/>
    <row r="275" ht="15.75" customHeight="1" s="58"/>
    <row r="276" ht="15.75" customHeight="1" s="58"/>
    <row r="277" ht="15.75" customHeight="1" s="58"/>
    <row r="278" ht="15.75" customHeight="1" s="58"/>
    <row r="279" ht="15.75" customHeight="1" s="58"/>
    <row r="280" ht="15.75" customHeight="1" s="58"/>
    <row r="281" ht="15.75" customHeight="1" s="58"/>
    <row r="282" ht="15.75" customHeight="1" s="58"/>
    <row r="283" ht="15.75" customHeight="1" s="58"/>
    <row r="284" ht="15.75" customHeight="1" s="58"/>
    <row r="285" ht="15.75" customHeight="1" s="58"/>
    <row r="286" ht="15.75" customHeight="1" s="58"/>
    <row r="287" ht="15.75" customHeight="1" s="58"/>
    <row r="288" ht="15.75" customHeight="1" s="58"/>
    <row r="289" ht="15.75" customHeight="1" s="58"/>
    <row r="290" ht="15.75" customHeight="1" s="58"/>
    <row r="291" ht="15.75" customHeight="1" s="58"/>
    <row r="292" ht="15.75" customHeight="1" s="58"/>
    <row r="293" ht="15.75" customHeight="1" s="58"/>
    <row r="294" ht="15.75" customHeight="1" s="58"/>
    <row r="295" ht="15.75" customHeight="1" s="58"/>
    <row r="296" ht="15.75" customHeight="1" s="58"/>
    <row r="297" ht="15.75" customHeight="1" s="58"/>
    <row r="298" ht="15.75" customHeight="1" s="58"/>
    <row r="299" ht="15.75" customHeight="1" s="58"/>
    <row r="300" ht="15.75" customHeight="1" s="58"/>
    <row r="301" ht="15.75" customHeight="1" s="58"/>
    <row r="302" ht="15.75" customHeight="1" s="58"/>
    <row r="303" ht="15.75" customHeight="1" s="58"/>
    <row r="304" ht="15.75" customHeight="1" s="58"/>
    <row r="305" ht="15.75" customHeight="1" s="58"/>
    <row r="306" ht="15.75" customHeight="1" s="58"/>
    <row r="307" ht="15.75" customHeight="1" s="58"/>
    <row r="308" ht="15.75" customHeight="1" s="58"/>
    <row r="309" ht="15.75" customHeight="1" s="58"/>
    <row r="310" ht="15.75" customHeight="1" s="58"/>
    <row r="311" ht="15.75" customHeight="1" s="58"/>
    <row r="312" ht="15.75" customHeight="1" s="58"/>
    <row r="313" ht="15.75" customHeight="1" s="58"/>
    <row r="314" ht="15.75" customHeight="1" s="58"/>
    <row r="315" ht="15.75" customHeight="1" s="58"/>
    <row r="316" ht="15.75" customHeight="1" s="58"/>
    <row r="317" ht="15.75" customHeight="1" s="58"/>
    <row r="318" ht="15.75" customHeight="1" s="58"/>
    <row r="319" ht="15.75" customHeight="1" s="58"/>
    <row r="320" ht="15.75" customHeight="1" s="58"/>
    <row r="321" ht="15.75" customHeight="1" s="58"/>
    <row r="322" ht="15.75" customHeight="1" s="58"/>
    <row r="323" ht="15.75" customHeight="1" s="58"/>
    <row r="324" ht="15.75" customHeight="1" s="58"/>
    <row r="325" ht="15.75" customHeight="1" s="58"/>
    <row r="326" ht="15.75" customHeight="1" s="58"/>
    <row r="327" ht="15.75" customHeight="1" s="58"/>
    <row r="328" ht="15.75" customHeight="1" s="58"/>
    <row r="329" ht="15.75" customHeight="1" s="58"/>
    <row r="330" ht="15.75" customHeight="1" s="58"/>
    <row r="331" ht="15.75" customHeight="1" s="58"/>
    <row r="332" ht="15.75" customHeight="1" s="58"/>
    <row r="333" ht="15.75" customHeight="1" s="58"/>
    <row r="334" ht="15.75" customHeight="1" s="58"/>
    <row r="335" ht="15.75" customHeight="1" s="58"/>
    <row r="336" ht="15.75" customHeight="1" s="58"/>
    <row r="337" ht="15.75" customHeight="1" s="58"/>
    <row r="338" ht="15.75" customHeight="1" s="58"/>
    <row r="339" ht="15.75" customHeight="1" s="58"/>
    <row r="340" ht="15.75" customHeight="1" s="58"/>
    <row r="341" ht="15.75" customHeight="1" s="58"/>
    <row r="342" ht="15.75" customHeight="1" s="58"/>
    <row r="343" ht="15.75" customHeight="1" s="58"/>
    <row r="344" ht="15.75" customHeight="1" s="58"/>
    <row r="345" ht="15.75" customHeight="1" s="58"/>
    <row r="346" ht="15.75" customHeight="1" s="58"/>
    <row r="347" ht="15.75" customHeight="1" s="58"/>
    <row r="348" ht="15.75" customHeight="1" s="58"/>
    <row r="349" ht="15.75" customHeight="1" s="58"/>
    <row r="350" ht="15.75" customHeight="1" s="58"/>
    <row r="351" ht="15.75" customHeight="1" s="58"/>
    <row r="352" ht="15.75" customHeight="1" s="58"/>
    <row r="353" ht="15.75" customHeight="1" s="58"/>
    <row r="354" ht="15.75" customHeight="1" s="58"/>
    <row r="355" ht="15.75" customHeight="1" s="58"/>
    <row r="356" ht="15.75" customHeight="1" s="58"/>
    <row r="357" ht="15.75" customHeight="1" s="58"/>
    <row r="358" ht="15.75" customHeight="1" s="58"/>
    <row r="359" ht="15.75" customHeight="1" s="58"/>
    <row r="360" ht="15.75" customHeight="1" s="58"/>
    <row r="361" ht="15.75" customHeight="1" s="58"/>
    <row r="362" ht="15.75" customHeight="1" s="58"/>
    <row r="363" ht="15.75" customHeight="1" s="58"/>
    <row r="364" ht="15.75" customHeight="1" s="58"/>
    <row r="365" ht="15.75" customHeight="1" s="58"/>
    <row r="366" ht="15.75" customHeight="1" s="58"/>
    <row r="367" ht="15.75" customHeight="1" s="58"/>
    <row r="368" ht="15.75" customHeight="1" s="58"/>
    <row r="369" ht="15.75" customHeight="1" s="58"/>
    <row r="370" ht="15.75" customHeight="1" s="58"/>
    <row r="371" ht="15.75" customHeight="1" s="58"/>
    <row r="372" ht="15.75" customHeight="1" s="58"/>
    <row r="373" ht="15.75" customHeight="1" s="58"/>
    <row r="374" ht="15.75" customHeight="1" s="58"/>
    <row r="375" ht="15.75" customHeight="1" s="58"/>
    <row r="376" ht="15.75" customHeight="1" s="58"/>
    <row r="377" ht="15.75" customHeight="1" s="58"/>
    <row r="378" ht="15.75" customHeight="1" s="58"/>
    <row r="379" ht="15.75" customHeight="1" s="58"/>
    <row r="380" ht="15.75" customHeight="1" s="58"/>
    <row r="381" ht="15.75" customHeight="1" s="58"/>
    <row r="382" ht="15.75" customHeight="1" s="58"/>
    <row r="383" ht="15.75" customHeight="1" s="58"/>
    <row r="384" ht="15.75" customHeight="1" s="58"/>
    <row r="385" ht="15.75" customHeight="1" s="58"/>
    <row r="386" ht="15.75" customHeight="1" s="58"/>
    <row r="387" ht="15.75" customHeight="1" s="58"/>
    <row r="388" ht="15.75" customHeight="1" s="58"/>
    <row r="389" ht="15.75" customHeight="1" s="58"/>
    <row r="390" ht="15.75" customHeight="1" s="58"/>
    <row r="391" ht="15.75" customHeight="1" s="58"/>
    <row r="392" ht="15.75" customHeight="1" s="58"/>
    <row r="393" ht="15.75" customHeight="1" s="58"/>
    <row r="394" ht="15.75" customHeight="1" s="58"/>
    <row r="395" ht="15.75" customHeight="1" s="58"/>
    <row r="396" ht="15.75" customHeight="1" s="58"/>
    <row r="397" ht="15.75" customHeight="1" s="58"/>
    <row r="398" ht="15.75" customHeight="1" s="58"/>
    <row r="399" ht="15.75" customHeight="1" s="58"/>
    <row r="400" ht="15.75" customHeight="1" s="58"/>
    <row r="401" ht="15.75" customHeight="1" s="58"/>
    <row r="402" ht="15.75" customHeight="1" s="58"/>
    <row r="403" ht="15.75" customHeight="1" s="58"/>
    <row r="404" ht="15.75" customHeight="1" s="58"/>
    <row r="405" ht="15.75" customHeight="1" s="58"/>
    <row r="406" ht="15.75" customHeight="1" s="58"/>
    <row r="407" ht="15.75" customHeight="1" s="58"/>
    <row r="408" ht="15.75" customHeight="1" s="58"/>
    <row r="409" ht="15.75" customHeight="1" s="58"/>
    <row r="410" ht="15.75" customHeight="1" s="58"/>
    <row r="411" ht="15.75" customHeight="1" s="58"/>
    <row r="412" ht="15.75" customHeight="1" s="58"/>
    <row r="413" ht="15.75" customHeight="1" s="58"/>
    <row r="414" ht="15.75" customHeight="1" s="58"/>
    <row r="415" ht="15.75" customHeight="1" s="58"/>
    <row r="416" ht="15.75" customHeight="1" s="58"/>
    <row r="417" ht="15.75" customHeight="1" s="58"/>
    <row r="418" ht="15.75" customHeight="1" s="58"/>
    <row r="419" ht="15.75" customHeight="1" s="58"/>
    <row r="420" ht="15.75" customHeight="1" s="58"/>
    <row r="421" ht="15.75" customHeight="1" s="58"/>
    <row r="422" ht="15.75" customHeight="1" s="58"/>
    <row r="423" ht="15.75" customHeight="1" s="58"/>
    <row r="424" ht="15.75" customHeight="1" s="58"/>
    <row r="425" ht="15.75" customHeight="1" s="58"/>
    <row r="426" ht="15.75" customHeight="1" s="58"/>
    <row r="427" ht="15.75" customHeight="1" s="58"/>
    <row r="428" ht="15.75" customHeight="1" s="58"/>
    <row r="429" ht="15.75" customHeight="1" s="58"/>
    <row r="430" ht="15.75" customHeight="1" s="58"/>
    <row r="431" ht="15.75" customHeight="1" s="58"/>
    <row r="432" ht="15.75" customHeight="1" s="58"/>
    <row r="433" ht="15.75" customHeight="1" s="58"/>
    <row r="434" ht="15.75" customHeight="1" s="58"/>
    <row r="435" ht="15.75" customHeight="1" s="58"/>
    <row r="436" ht="15.75" customHeight="1" s="58"/>
    <row r="437" ht="15.75" customHeight="1" s="58"/>
    <row r="438" ht="15.75" customHeight="1" s="58"/>
    <row r="439" ht="15.75" customHeight="1" s="58"/>
    <row r="440" ht="15.75" customHeight="1" s="58"/>
    <row r="441" ht="15.75" customHeight="1" s="58"/>
    <row r="442" ht="15.75" customHeight="1" s="58"/>
    <row r="443" ht="15.75" customHeight="1" s="58"/>
    <row r="444" ht="15.75" customHeight="1" s="58"/>
    <row r="445" ht="15.75" customHeight="1" s="58"/>
    <row r="446" ht="15.75" customHeight="1" s="58"/>
    <row r="447" ht="15.75" customHeight="1" s="58"/>
    <row r="448" ht="15.75" customHeight="1" s="58"/>
    <row r="449" ht="15.75" customHeight="1" s="58"/>
    <row r="450" ht="15.75" customHeight="1" s="58"/>
    <row r="451" ht="15.75" customHeight="1" s="58"/>
    <row r="452" ht="15.75" customHeight="1" s="58"/>
    <row r="453" ht="15.75" customHeight="1" s="58"/>
    <row r="454" ht="15.75" customHeight="1" s="58"/>
    <row r="455" ht="15.75" customHeight="1" s="58"/>
    <row r="456" ht="15.75" customHeight="1" s="58"/>
    <row r="457" ht="15.75" customHeight="1" s="58"/>
    <row r="458" ht="15.75" customHeight="1" s="58"/>
    <row r="459" ht="15.75" customHeight="1" s="58"/>
    <row r="460" ht="15.75" customHeight="1" s="58"/>
    <row r="461" ht="15.75" customHeight="1" s="58"/>
    <row r="462" ht="15.75" customHeight="1" s="58"/>
    <row r="463" ht="15.75" customHeight="1" s="58"/>
    <row r="464" ht="15.75" customHeight="1" s="58"/>
    <row r="465" ht="15.75" customHeight="1" s="58"/>
    <row r="466" ht="15.75" customHeight="1" s="58"/>
    <row r="467" ht="15.75" customHeight="1" s="58"/>
    <row r="468" ht="15.75" customHeight="1" s="58"/>
    <row r="469" ht="15.75" customHeight="1" s="58"/>
    <row r="470" ht="15.75" customHeight="1" s="58"/>
    <row r="471" ht="15.75" customHeight="1" s="58"/>
    <row r="472" ht="15.75" customHeight="1" s="58"/>
    <row r="473" ht="15.75" customHeight="1" s="58"/>
    <row r="474" ht="15.75" customHeight="1" s="58"/>
    <row r="475" ht="15.75" customHeight="1" s="58"/>
    <row r="476" ht="15.75" customHeight="1" s="58"/>
    <row r="477" ht="15.75" customHeight="1" s="58"/>
    <row r="478" ht="15.75" customHeight="1" s="58"/>
    <row r="479" ht="15.75" customHeight="1" s="58"/>
    <row r="480" ht="15.75" customHeight="1" s="58"/>
    <row r="481" ht="15.75" customHeight="1" s="58"/>
    <row r="482" ht="15.75" customHeight="1" s="58"/>
    <row r="483" ht="15.75" customHeight="1" s="58"/>
    <row r="484" ht="15.75" customHeight="1" s="58"/>
    <row r="485" ht="15.75" customHeight="1" s="58"/>
    <row r="486" ht="15.75" customHeight="1" s="58"/>
    <row r="487" ht="15.75" customHeight="1" s="58"/>
    <row r="488" ht="15.75" customHeight="1" s="58"/>
    <row r="489" ht="15.75" customHeight="1" s="58"/>
    <row r="490" ht="15.75" customHeight="1" s="58"/>
    <row r="491" ht="15.75" customHeight="1" s="58"/>
    <row r="492" ht="15.75" customHeight="1" s="58"/>
    <row r="493" ht="15.75" customHeight="1" s="58"/>
    <row r="494" ht="15.75" customHeight="1" s="58"/>
    <row r="495" ht="15.75" customHeight="1" s="58"/>
    <row r="496" ht="15.75" customHeight="1" s="58"/>
    <row r="497" ht="15.75" customHeight="1" s="58"/>
    <row r="498" ht="15.75" customHeight="1" s="58"/>
    <row r="499" ht="15.75" customHeight="1" s="58"/>
    <row r="500" ht="15.75" customHeight="1" s="58"/>
    <row r="501" ht="15.75" customHeight="1" s="58"/>
    <row r="502" ht="15.75" customHeight="1" s="58"/>
    <row r="503" ht="15.75" customHeight="1" s="58"/>
    <row r="504" ht="15.75" customHeight="1" s="58"/>
    <row r="505" ht="15.75" customHeight="1" s="58"/>
    <row r="506" ht="15.75" customHeight="1" s="58"/>
    <row r="507" ht="15.75" customHeight="1" s="58"/>
    <row r="508" ht="15.75" customHeight="1" s="58"/>
    <row r="509" ht="15.75" customHeight="1" s="58"/>
    <row r="510" ht="15.75" customHeight="1" s="58"/>
    <row r="511" ht="15.75" customHeight="1" s="58"/>
    <row r="512" ht="15.75" customHeight="1" s="58"/>
    <row r="513" ht="15.75" customHeight="1" s="58"/>
    <row r="514" ht="15.75" customHeight="1" s="58"/>
    <row r="515" ht="15.75" customHeight="1" s="58"/>
    <row r="516" ht="15.75" customHeight="1" s="58"/>
    <row r="517" ht="15.75" customHeight="1" s="58"/>
    <row r="518" ht="15.75" customHeight="1" s="58"/>
    <row r="519" ht="15.75" customHeight="1" s="58"/>
    <row r="520" ht="15.75" customHeight="1" s="58"/>
    <row r="521" ht="15.75" customHeight="1" s="58"/>
    <row r="522" ht="15.75" customHeight="1" s="58"/>
    <row r="523" ht="15.75" customHeight="1" s="58"/>
    <row r="524" ht="15.75" customHeight="1" s="58"/>
    <row r="525" ht="15.75" customHeight="1" s="58"/>
    <row r="526" ht="15.75" customHeight="1" s="58"/>
    <row r="527" ht="15.75" customHeight="1" s="58"/>
    <row r="528" ht="15.75" customHeight="1" s="58"/>
    <row r="529" ht="15.75" customHeight="1" s="58"/>
    <row r="530" ht="15.75" customHeight="1" s="58"/>
    <row r="531" ht="15.75" customHeight="1" s="58"/>
    <row r="532" ht="15.75" customHeight="1" s="58"/>
    <row r="533" ht="15.75" customHeight="1" s="58"/>
    <row r="534" ht="15.75" customHeight="1" s="58"/>
    <row r="535" ht="15.75" customHeight="1" s="58"/>
    <row r="536" ht="15.75" customHeight="1" s="58"/>
    <row r="537" ht="15.75" customHeight="1" s="58"/>
    <row r="538" ht="15.75" customHeight="1" s="58"/>
    <row r="539" ht="15.75" customHeight="1" s="58"/>
    <row r="540" ht="15.75" customHeight="1" s="58"/>
    <row r="541" ht="15.75" customHeight="1" s="58"/>
    <row r="542" ht="15.75" customHeight="1" s="58"/>
    <row r="543" ht="15.75" customHeight="1" s="58"/>
    <row r="544" ht="15.75" customHeight="1" s="58"/>
    <row r="545" ht="15.75" customHeight="1" s="58"/>
    <row r="546" ht="15.75" customHeight="1" s="58"/>
    <row r="547" ht="15.75" customHeight="1" s="58"/>
    <row r="548" ht="15.75" customHeight="1" s="58"/>
    <row r="549" ht="15.75" customHeight="1" s="58"/>
    <row r="550" ht="15.75" customHeight="1" s="58"/>
    <row r="551" ht="15.75" customHeight="1" s="58"/>
    <row r="552" ht="15.75" customHeight="1" s="58"/>
    <row r="553" ht="15.75" customHeight="1" s="58"/>
    <row r="554" ht="15.75" customHeight="1" s="58"/>
    <row r="555" ht="15.75" customHeight="1" s="58"/>
    <row r="556" ht="15.75" customHeight="1" s="58"/>
    <row r="557" ht="15.75" customHeight="1" s="58"/>
    <row r="558" ht="15.75" customHeight="1" s="58"/>
    <row r="559" ht="15.75" customHeight="1" s="58"/>
    <row r="560" ht="15.75" customHeight="1" s="58"/>
    <row r="561" ht="15.75" customHeight="1" s="58"/>
    <row r="562" ht="15.75" customHeight="1" s="58"/>
    <row r="563" ht="15.75" customHeight="1" s="58"/>
    <row r="564" ht="15.75" customHeight="1" s="58"/>
    <row r="565" ht="15.75" customHeight="1" s="58"/>
    <row r="566" ht="15.75" customHeight="1" s="58"/>
    <row r="567" ht="15.75" customHeight="1" s="58"/>
    <row r="568" ht="15.75" customHeight="1" s="58"/>
    <row r="569" ht="15.75" customHeight="1" s="58"/>
    <row r="570" ht="15.75" customHeight="1" s="58"/>
    <row r="571" ht="15.75" customHeight="1" s="58"/>
    <row r="572" ht="15.75" customHeight="1" s="58"/>
    <row r="573" ht="15.75" customHeight="1" s="58"/>
    <row r="574" ht="15.75" customHeight="1" s="58"/>
    <row r="575" ht="15.75" customHeight="1" s="58"/>
    <row r="576" ht="15.75" customHeight="1" s="58"/>
    <row r="577" ht="15.75" customHeight="1" s="58"/>
    <row r="578" ht="15.75" customHeight="1" s="58"/>
    <row r="579" ht="15.75" customHeight="1" s="58"/>
    <row r="580" ht="15.75" customHeight="1" s="58"/>
    <row r="581" ht="15.75" customHeight="1" s="58"/>
    <row r="582" ht="15.75" customHeight="1" s="58"/>
    <row r="583" ht="15.75" customHeight="1" s="58"/>
    <row r="584" ht="15.75" customHeight="1" s="58"/>
    <row r="585" ht="15.75" customHeight="1" s="58"/>
    <row r="586" ht="15.75" customHeight="1" s="58"/>
    <row r="587" ht="15.75" customHeight="1" s="58"/>
    <row r="588" ht="15.75" customHeight="1" s="58"/>
    <row r="589" ht="15.75" customHeight="1" s="58"/>
    <row r="590" ht="15.75" customHeight="1" s="58"/>
    <row r="591" ht="15.75" customHeight="1" s="58"/>
    <row r="592" ht="15.75" customHeight="1" s="58"/>
    <row r="593" ht="15.75" customHeight="1" s="58"/>
    <row r="594" ht="15.75" customHeight="1" s="58"/>
    <row r="595" ht="15.75" customHeight="1" s="58"/>
    <row r="596" ht="15.75" customHeight="1" s="58"/>
    <row r="597" ht="15.75" customHeight="1" s="58"/>
    <row r="598" ht="15.75" customHeight="1" s="58"/>
    <row r="599" ht="15.75" customHeight="1" s="58"/>
    <row r="600" ht="15.75" customHeight="1" s="58"/>
    <row r="601" ht="15.75" customHeight="1" s="58"/>
    <row r="602" ht="15.75" customHeight="1" s="58"/>
    <row r="603" ht="15.75" customHeight="1" s="58"/>
    <row r="604" ht="15.75" customHeight="1" s="58"/>
    <row r="605" ht="15.75" customHeight="1" s="58"/>
    <row r="606" ht="15.75" customHeight="1" s="58"/>
    <row r="607" ht="15.75" customHeight="1" s="58"/>
    <row r="608" ht="15.75" customHeight="1" s="58"/>
    <row r="609" ht="15.75" customHeight="1" s="58"/>
    <row r="610" ht="15.75" customHeight="1" s="58"/>
    <row r="611" ht="15.75" customHeight="1" s="58"/>
    <row r="612" ht="15.75" customHeight="1" s="58"/>
    <row r="613" ht="15.75" customHeight="1" s="58"/>
    <row r="614" ht="15.75" customHeight="1" s="58"/>
    <row r="615" ht="15.75" customHeight="1" s="58"/>
    <row r="616" ht="15.75" customHeight="1" s="58"/>
    <row r="617" ht="15.75" customHeight="1" s="58"/>
    <row r="618" ht="15.75" customHeight="1" s="58"/>
    <row r="619" ht="15.75" customHeight="1" s="58"/>
    <row r="620" ht="15.75" customHeight="1" s="58"/>
    <row r="621" ht="15.75" customHeight="1" s="58"/>
    <row r="622" ht="15.75" customHeight="1" s="58"/>
    <row r="623" ht="15.75" customHeight="1" s="58"/>
    <row r="624" ht="15.75" customHeight="1" s="58"/>
    <row r="625" ht="15.75" customHeight="1" s="58"/>
    <row r="626" ht="15.75" customHeight="1" s="58"/>
    <row r="627" ht="15.75" customHeight="1" s="58"/>
    <row r="628" ht="15.75" customHeight="1" s="58"/>
    <row r="629" ht="15.75" customHeight="1" s="58"/>
    <row r="630" ht="15.75" customHeight="1" s="58"/>
    <row r="631" ht="15.75" customHeight="1" s="58"/>
    <row r="632" ht="15.75" customHeight="1" s="58"/>
    <row r="633" ht="15.75" customHeight="1" s="58"/>
    <row r="634" ht="15.75" customHeight="1" s="58"/>
    <row r="635" ht="15.75" customHeight="1" s="58"/>
    <row r="636" ht="15.75" customHeight="1" s="58"/>
    <row r="637" ht="15.75" customHeight="1" s="58"/>
    <row r="638" ht="15.75" customHeight="1" s="58"/>
    <row r="639" ht="15.75" customHeight="1" s="58"/>
    <row r="640" ht="15.75" customHeight="1" s="58"/>
    <row r="641" ht="15.75" customHeight="1" s="58"/>
    <row r="642" ht="15.75" customHeight="1" s="58"/>
    <row r="643" ht="15.75" customHeight="1" s="58"/>
    <row r="644" ht="15.75" customHeight="1" s="58"/>
    <row r="645" ht="15.75" customHeight="1" s="58"/>
    <row r="646" ht="15.75" customHeight="1" s="58"/>
    <row r="647" ht="15.75" customHeight="1" s="58"/>
    <row r="648" ht="15.75" customHeight="1" s="58"/>
    <row r="649" ht="15.75" customHeight="1" s="58"/>
    <row r="650" ht="15.75" customHeight="1" s="58"/>
    <row r="651" ht="15.75" customHeight="1" s="58"/>
    <row r="652" ht="15.75" customHeight="1" s="58"/>
    <row r="653" ht="15.75" customHeight="1" s="58"/>
    <row r="654" ht="15.75" customHeight="1" s="58"/>
    <row r="655" ht="15.75" customHeight="1" s="58"/>
    <row r="656" ht="15.75" customHeight="1" s="58"/>
    <row r="657" ht="15.75" customHeight="1" s="58"/>
    <row r="658" ht="15.75" customHeight="1" s="58"/>
    <row r="659" ht="15.75" customHeight="1" s="58"/>
    <row r="660" ht="15.75" customHeight="1" s="58"/>
    <row r="661" ht="15.75" customHeight="1" s="58"/>
    <row r="662" ht="15.75" customHeight="1" s="58"/>
    <row r="663" ht="15.75" customHeight="1" s="58"/>
    <row r="664" ht="15.75" customHeight="1" s="58"/>
    <row r="665" ht="15.75" customHeight="1" s="58"/>
    <row r="666" ht="15.75" customHeight="1" s="58"/>
    <row r="667" ht="15.75" customHeight="1" s="58"/>
    <row r="668" ht="15.75" customHeight="1" s="58"/>
    <row r="669" ht="15.75" customHeight="1" s="58"/>
    <row r="670" ht="15.75" customHeight="1" s="58"/>
    <row r="671" ht="15.75" customHeight="1" s="58"/>
    <row r="672" ht="15.75" customHeight="1" s="58"/>
    <row r="673" ht="15.75" customHeight="1" s="58"/>
    <row r="674" ht="15.75" customHeight="1" s="58"/>
    <row r="675" ht="15.75" customHeight="1" s="58"/>
    <row r="676" ht="15.75" customHeight="1" s="58"/>
    <row r="677" ht="15.75" customHeight="1" s="58"/>
    <row r="678" ht="15.75" customHeight="1" s="58"/>
    <row r="679" ht="15.75" customHeight="1" s="58"/>
    <row r="680" ht="15.75" customHeight="1" s="58"/>
    <row r="681" ht="15.75" customHeight="1" s="58"/>
    <row r="682" ht="15.75" customHeight="1" s="58"/>
    <row r="683" ht="15.75" customHeight="1" s="58"/>
    <row r="684" ht="15.75" customHeight="1" s="58"/>
    <row r="685" ht="15.75" customHeight="1" s="58"/>
    <row r="686" ht="15.75" customHeight="1" s="58"/>
    <row r="687" ht="15.75" customHeight="1" s="58"/>
    <row r="688" ht="15.75" customHeight="1" s="58"/>
    <row r="689" ht="15.75" customHeight="1" s="58"/>
    <row r="690" ht="15.75" customHeight="1" s="58"/>
    <row r="691" ht="15.75" customHeight="1" s="58"/>
    <row r="692" ht="15.75" customHeight="1" s="58"/>
    <row r="693" ht="15.75" customHeight="1" s="58"/>
    <row r="694" ht="15.75" customHeight="1" s="58"/>
    <row r="695" ht="15.75" customHeight="1" s="58"/>
    <row r="696" ht="15.75" customHeight="1" s="58"/>
    <row r="697" ht="15.75" customHeight="1" s="58"/>
    <row r="698" ht="15.75" customHeight="1" s="58"/>
    <row r="699" ht="15.75" customHeight="1" s="58"/>
    <row r="700" ht="15.75" customHeight="1" s="58"/>
    <row r="701" ht="15.75" customHeight="1" s="58"/>
    <row r="702" ht="15.75" customHeight="1" s="58"/>
    <row r="703" ht="15.75" customHeight="1" s="58"/>
    <row r="704" ht="15.75" customHeight="1" s="58"/>
    <row r="705" ht="15.75" customHeight="1" s="58"/>
    <row r="706" ht="15.75" customHeight="1" s="58"/>
    <row r="707" ht="15.75" customHeight="1" s="58"/>
    <row r="708" ht="15.75" customHeight="1" s="58"/>
    <row r="709" ht="15.75" customHeight="1" s="58"/>
    <row r="710" ht="15.75" customHeight="1" s="58"/>
    <row r="711" ht="15.75" customHeight="1" s="58"/>
    <row r="712" ht="15.75" customHeight="1" s="58"/>
    <row r="713" ht="15.75" customHeight="1" s="58"/>
    <row r="714" ht="15.75" customHeight="1" s="58"/>
    <row r="715" ht="15.75" customHeight="1" s="58"/>
    <row r="716" ht="15.75" customHeight="1" s="58"/>
    <row r="717" ht="15.75" customHeight="1" s="58"/>
    <row r="718" ht="15.75" customHeight="1" s="58"/>
    <row r="719" ht="15.75" customHeight="1" s="58"/>
    <row r="720" ht="15.75" customHeight="1" s="58"/>
    <row r="721" ht="15.75" customHeight="1" s="58"/>
    <row r="722" ht="15.75" customHeight="1" s="58"/>
    <row r="723" ht="15.75" customHeight="1" s="58"/>
    <row r="724" ht="15.75" customHeight="1" s="58"/>
    <row r="725" ht="15.75" customHeight="1" s="58"/>
    <row r="726" ht="15.75" customHeight="1" s="58"/>
    <row r="727" ht="15.75" customHeight="1" s="58"/>
    <row r="728" ht="15.75" customHeight="1" s="58"/>
    <row r="729" ht="15.75" customHeight="1" s="58"/>
    <row r="730" ht="15.75" customHeight="1" s="58"/>
    <row r="731" ht="15.75" customHeight="1" s="58"/>
    <row r="732" ht="15.75" customHeight="1" s="58"/>
    <row r="733" ht="15.75" customHeight="1" s="58"/>
    <row r="734" ht="15.75" customHeight="1" s="58"/>
    <row r="735" ht="15.75" customHeight="1" s="58"/>
    <row r="736" ht="15.75" customHeight="1" s="58"/>
    <row r="737" ht="15.75" customHeight="1" s="58"/>
    <row r="738" ht="15.75" customHeight="1" s="58"/>
    <row r="739" ht="15.75" customHeight="1" s="58"/>
    <row r="740" ht="15.75" customHeight="1" s="58"/>
    <row r="741" ht="15.75" customHeight="1" s="58"/>
    <row r="742" ht="15.75" customHeight="1" s="58"/>
    <row r="743" ht="15.75" customHeight="1" s="58"/>
    <row r="744" ht="15.75" customHeight="1" s="58"/>
    <row r="745" ht="15.75" customHeight="1" s="58"/>
    <row r="746" ht="15.75" customHeight="1" s="58"/>
    <row r="747" ht="15.75" customHeight="1" s="58"/>
    <row r="748" ht="15.75" customHeight="1" s="58"/>
    <row r="749" ht="15.75" customHeight="1" s="58"/>
    <row r="750" ht="15.75" customHeight="1" s="58"/>
    <row r="751" ht="15.75" customHeight="1" s="58"/>
    <row r="752" ht="15.75" customHeight="1" s="58"/>
    <row r="753" ht="15.75" customHeight="1" s="58"/>
    <row r="754" ht="15.75" customHeight="1" s="58"/>
    <row r="755" ht="15.75" customHeight="1" s="58"/>
    <row r="756" ht="15.75" customHeight="1" s="58"/>
    <row r="757" ht="15.75" customHeight="1" s="58"/>
    <row r="758" ht="15.75" customHeight="1" s="58"/>
    <row r="759" ht="15.75" customHeight="1" s="58"/>
    <row r="760" ht="15.75" customHeight="1" s="58"/>
    <row r="761" ht="15.75" customHeight="1" s="58"/>
    <row r="762" ht="15.75" customHeight="1" s="58"/>
    <row r="763" ht="15.75" customHeight="1" s="58"/>
    <row r="764" ht="15.75" customHeight="1" s="58"/>
    <row r="765" ht="15.75" customHeight="1" s="58"/>
    <row r="766" ht="15.75" customHeight="1" s="58"/>
    <row r="767" ht="15.75" customHeight="1" s="58"/>
    <row r="768" ht="15.75" customHeight="1" s="58"/>
    <row r="769" ht="15.75" customHeight="1" s="58"/>
    <row r="770" ht="15.75" customHeight="1" s="58"/>
    <row r="771" ht="15.75" customHeight="1" s="58"/>
    <row r="772" ht="15.75" customHeight="1" s="58"/>
    <row r="773" ht="15.75" customHeight="1" s="58"/>
    <row r="774" ht="15.75" customHeight="1" s="58"/>
    <row r="775" ht="15.75" customHeight="1" s="58"/>
    <row r="776" ht="15.75" customHeight="1" s="58"/>
    <row r="777" ht="15.75" customHeight="1" s="58"/>
    <row r="778" ht="15.75" customHeight="1" s="58"/>
    <row r="779" ht="15.75" customHeight="1" s="58"/>
    <row r="780" ht="15.75" customHeight="1" s="58"/>
    <row r="781" ht="15.75" customHeight="1" s="58"/>
    <row r="782" ht="15.75" customHeight="1" s="58"/>
    <row r="783" ht="15.75" customHeight="1" s="58"/>
    <row r="784" ht="15.75" customHeight="1" s="58"/>
    <row r="785" ht="15.75" customHeight="1" s="58"/>
    <row r="786" ht="15.75" customHeight="1" s="58"/>
    <row r="787" ht="15.75" customHeight="1" s="58"/>
    <row r="788" ht="15.75" customHeight="1" s="58"/>
    <row r="789" ht="15.75" customHeight="1" s="58"/>
    <row r="790" ht="15.75" customHeight="1" s="58"/>
    <row r="791" ht="15.75" customHeight="1" s="58"/>
    <row r="792" ht="15.75" customHeight="1" s="58"/>
    <row r="793" ht="15.75" customHeight="1" s="58"/>
    <row r="794" ht="15.75" customHeight="1" s="58"/>
    <row r="795" ht="15.75" customHeight="1" s="58"/>
    <row r="796" ht="15.75" customHeight="1" s="58"/>
    <row r="797" ht="15.75" customHeight="1" s="58"/>
    <row r="798" ht="15.75" customHeight="1" s="58"/>
    <row r="799" ht="15.75" customHeight="1" s="58"/>
    <row r="800" ht="15.75" customHeight="1" s="58"/>
    <row r="801" ht="15.75" customHeight="1" s="58"/>
    <row r="802" ht="15.75" customHeight="1" s="58"/>
    <row r="803" ht="15.75" customHeight="1" s="58"/>
    <row r="804" ht="15.75" customHeight="1" s="58"/>
    <row r="805" ht="15.75" customHeight="1" s="58"/>
    <row r="806" ht="15.75" customHeight="1" s="58"/>
    <row r="807" ht="15.75" customHeight="1" s="58"/>
    <row r="808" ht="15.75" customHeight="1" s="58"/>
    <row r="809" ht="15.75" customHeight="1" s="58"/>
    <row r="810" ht="15.75" customHeight="1" s="58"/>
    <row r="811" ht="15.75" customHeight="1" s="58"/>
    <row r="812" ht="15.75" customHeight="1" s="58"/>
    <row r="813" ht="15.75" customHeight="1" s="58"/>
    <row r="814" ht="15.75" customHeight="1" s="58"/>
    <row r="815" ht="15.75" customHeight="1" s="58"/>
    <row r="816" ht="15.75" customHeight="1" s="58"/>
    <row r="817" ht="15.75" customHeight="1" s="58"/>
    <row r="818" ht="15.75" customHeight="1" s="58"/>
    <row r="819" ht="15.75" customHeight="1" s="58"/>
    <row r="820" ht="15.75" customHeight="1" s="58"/>
    <row r="821" ht="15.75" customHeight="1" s="58"/>
    <row r="822" ht="15.75" customHeight="1" s="58"/>
    <row r="823" ht="15.75" customHeight="1" s="58"/>
    <row r="824" ht="15.75" customHeight="1" s="58"/>
    <row r="825" ht="15.75" customHeight="1" s="58"/>
    <row r="826" ht="15.75" customHeight="1" s="58"/>
    <row r="827" ht="15.75" customHeight="1" s="58"/>
    <row r="828" ht="15.75" customHeight="1" s="58"/>
    <row r="829" ht="15.75" customHeight="1" s="58"/>
    <row r="830" ht="15.75" customHeight="1" s="58"/>
    <row r="831" ht="15.75" customHeight="1" s="58"/>
    <row r="832" ht="15.75" customHeight="1" s="58"/>
    <row r="833" ht="15.75" customHeight="1" s="58"/>
    <row r="834" ht="15.75" customHeight="1" s="58"/>
    <row r="835" ht="15.75" customHeight="1" s="58"/>
    <row r="836" ht="15.75" customHeight="1" s="58"/>
    <row r="837" ht="15.75" customHeight="1" s="58"/>
    <row r="838" ht="15.75" customHeight="1" s="58"/>
    <row r="839" ht="15.75" customHeight="1" s="58"/>
    <row r="840" ht="15.75" customHeight="1" s="58"/>
    <row r="841" ht="15.75" customHeight="1" s="58"/>
    <row r="842" ht="15.75" customHeight="1" s="58"/>
    <row r="843" ht="15.75" customHeight="1" s="58"/>
    <row r="844" ht="15.75" customHeight="1" s="58"/>
    <row r="845" ht="15.75" customHeight="1" s="58"/>
    <row r="846" ht="15.75" customHeight="1" s="58"/>
    <row r="847" ht="15.75" customHeight="1" s="58"/>
    <row r="848" ht="15.75" customHeight="1" s="58"/>
    <row r="849" ht="15.75" customHeight="1" s="58"/>
    <row r="850" ht="15.75" customHeight="1" s="58"/>
    <row r="851" ht="15.75" customHeight="1" s="58"/>
    <row r="852" ht="15.75" customHeight="1" s="58"/>
    <row r="853" ht="15.75" customHeight="1" s="58"/>
    <row r="854" ht="15.75" customHeight="1" s="58"/>
    <row r="855" ht="15.75" customHeight="1" s="58"/>
    <row r="856" ht="15.75" customHeight="1" s="58"/>
    <row r="857" ht="15.75" customHeight="1" s="58"/>
    <row r="858" ht="15.75" customHeight="1" s="58"/>
    <row r="859" ht="15.75" customHeight="1" s="58"/>
    <row r="860" ht="15.75" customHeight="1" s="58"/>
    <row r="861" ht="15.75" customHeight="1" s="58"/>
    <row r="862" ht="15.75" customHeight="1" s="58"/>
    <row r="863" ht="15.75" customHeight="1" s="58"/>
    <row r="864" ht="15.75" customHeight="1" s="58"/>
    <row r="865" ht="15.75" customHeight="1" s="58"/>
    <row r="866" ht="15.75" customHeight="1" s="58"/>
    <row r="867" ht="15.75" customHeight="1" s="58"/>
    <row r="868" ht="15.75" customHeight="1" s="58"/>
    <row r="869" ht="15.75" customHeight="1" s="58"/>
    <row r="870" ht="15.75" customHeight="1" s="58"/>
    <row r="871" ht="15.75" customHeight="1" s="58"/>
    <row r="872" ht="15.75" customHeight="1" s="58"/>
    <row r="873" ht="15.75" customHeight="1" s="58"/>
    <row r="874" ht="15.75" customHeight="1" s="58"/>
    <row r="875" ht="15.75" customHeight="1" s="58"/>
    <row r="876" ht="15.75" customHeight="1" s="58"/>
    <row r="877" ht="15.75" customHeight="1" s="58"/>
    <row r="878" ht="15.75" customHeight="1" s="58"/>
    <row r="879" ht="15.75" customHeight="1" s="58"/>
    <row r="880" ht="15.75" customHeight="1" s="58"/>
    <row r="881" ht="15.75" customHeight="1" s="58"/>
    <row r="882" ht="15.75" customHeight="1" s="58"/>
    <row r="883" ht="15.75" customHeight="1" s="58"/>
    <row r="884" ht="15.75" customHeight="1" s="58"/>
    <row r="885" ht="15.75" customHeight="1" s="58"/>
    <row r="886" ht="15.75" customHeight="1" s="58"/>
    <row r="887" ht="15.75" customHeight="1" s="58"/>
    <row r="888" ht="15.75" customHeight="1" s="58"/>
    <row r="889" ht="15.75" customHeight="1" s="58"/>
    <row r="890" ht="15.75" customHeight="1" s="58"/>
    <row r="891" ht="15.75" customHeight="1" s="58"/>
    <row r="892" ht="15.75" customHeight="1" s="58"/>
    <row r="893" ht="15.75" customHeight="1" s="58"/>
    <row r="894" ht="15.75" customHeight="1" s="58"/>
    <row r="895" ht="15.75" customHeight="1" s="58"/>
    <row r="896" ht="15.75" customHeight="1" s="58"/>
    <row r="897" ht="15.75" customHeight="1" s="58"/>
    <row r="898" ht="15.75" customHeight="1" s="58"/>
    <row r="899" ht="15.75" customHeight="1" s="58"/>
    <row r="900" ht="15.75" customHeight="1" s="58"/>
    <row r="901" ht="15.75" customHeight="1" s="58"/>
    <row r="902" ht="15.75" customHeight="1" s="58"/>
    <row r="903" ht="15.75" customHeight="1" s="58"/>
    <row r="904" ht="15.75" customHeight="1" s="58"/>
    <row r="905" ht="15.75" customHeight="1" s="58"/>
    <row r="906" ht="15.75" customHeight="1" s="58"/>
    <row r="907" ht="15.75" customHeight="1" s="58"/>
    <row r="908" ht="15.75" customHeight="1" s="58"/>
    <row r="909" ht="15.75" customHeight="1" s="58"/>
    <row r="910" ht="15.75" customHeight="1" s="58"/>
    <row r="911" ht="15.75" customHeight="1" s="58"/>
    <row r="912" ht="15.75" customHeight="1" s="58"/>
    <row r="913" ht="15.75" customHeight="1" s="58"/>
    <row r="914" ht="15.75" customHeight="1" s="58"/>
    <row r="915" ht="15.75" customHeight="1" s="58"/>
    <row r="916" ht="15.75" customHeight="1" s="58"/>
    <row r="917" ht="15.75" customHeight="1" s="58"/>
    <row r="918" ht="15.75" customHeight="1" s="58"/>
    <row r="919" ht="15.75" customHeight="1" s="58"/>
    <row r="920" ht="15.75" customHeight="1" s="58"/>
    <row r="921" ht="15.75" customHeight="1" s="58"/>
    <row r="922" ht="15.75" customHeight="1" s="58"/>
    <row r="923" ht="15.75" customHeight="1" s="58"/>
    <row r="924" ht="15.75" customHeight="1" s="58"/>
    <row r="925" ht="15.75" customHeight="1" s="58"/>
    <row r="926" ht="15.75" customHeight="1" s="58"/>
    <row r="927" ht="15.75" customHeight="1" s="58"/>
    <row r="928" ht="15.75" customHeight="1" s="58"/>
    <row r="929" ht="15.75" customHeight="1" s="58"/>
    <row r="930" ht="15.75" customHeight="1" s="58"/>
    <row r="931" ht="15.75" customHeight="1" s="58"/>
    <row r="932" ht="15.75" customHeight="1" s="58"/>
    <row r="933" ht="15.75" customHeight="1" s="58"/>
    <row r="934" ht="15.75" customHeight="1" s="58"/>
    <row r="935" ht="15.75" customHeight="1" s="58"/>
    <row r="936" ht="15.75" customHeight="1" s="58"/>
    <row r="937" ht="15.75" customHeight="1" s="58"/>
    <row r="938" ht="15.75" customHeight="1" s="58"/>
    <row r="939" ht="15.75" customHeight="1" s="58"/>
    <row r="940" ht="15.75" customHeight="1" s="58"/>
    <row r="941" ht="15.75" customHeight="1" s="58"/>
    <row r="942" ht="15.75" customHeight="1" s="58"/>
    <row r="943" ht="15.75" customHeight="1" s="58"/>
    <row r="944" ht="15.75" customHeight="1" s="58"/>
    <row r="945" ht="15.75" customHeight="1" s="58"/>
    <row r="946" ht="15.75" customHeight="1" s="58"/>
    <row r="947" ht="15.75" customHeight="1" s="58"/>
    <row r="948" ht="15.75" customHeight="1" s="58"/>
    <row r="949" ht="15.75" customHeight="1" s="58"/>
    <row r="950" ht="15.75" customHeight="1" s="58"/>
    <row r="951" ht="15.75" customHeight="1" s="58"/>
    <row r="952" ht="15.75" customHeight="1" s="58"/>
    <row r="953" ht="15.75" customHeight="1" s="58"/>
    <row r="954" ht="15.75" customHeight="1" s="58"/>
    <row r="955" ht="15.75" customHeight="1" s="58"/>
    <row r="956" ht="15.75" customHeight="1" s="58"/>
    <row r="957" ht="15.75" customHeight="1" s="58"/>
    <row r="958" ht="15.75" customHeight="1" s="58"/>
    <row r="959" ht="15.75" customHeight="1" s="58"/>
    <row r="960" ht="15.75" customHeight="1" s="58"/>
    <row r="961" ht="15.75" customHeight="1" s="58"/>
    <row r="962" ht="15.75" customHeight="1" s="58"/>
    <row r="963" ht="15.75" customHeight="1" s="58"/>
    <row r="964" ht="15.75" customHeight="1" s="58"/>
    <row r="965" ht="15.75" customHeight="1" s="58"/>
    <row r="966" ht="15.75" customHeight="1" s="58"/>
    <row r="967" ht="15.75" customHeight="1" s="58"/>
    <row r="968" ht="15.75" customHeight="1" s="58"/>
    <row r="969" ht="15.75" customHeight="1" s="58"/>
    <row r="970" ht="15.75" customHeight="1" s="58"/>
    <row r="971" ht="15.75" customHeight="1" s="58"/>
    <row r="972" ht="15.75" customHeight="1" s="58"/>
    <row r="973" ht="15.75" customHeight="1" s="58"/>
    <row r="974" ht="15.75" customHeight="1" s="58"/>
    <row r="975" ht="15.75" customHeight="1" s="58"/>
    <row r="976" ht="15.75" customHeight="1" s="58"/>
    <row r="977" ht="15.75" customHeight="1" s="58"/>
    <row r="978" ht="15.75" customHeight="1" s="58"/>
    <row r="979" ht="15.75" customHeight="1" s="58"/>
    <row r="980" ht="15.75" customHeight="1" s="58"/>
    <row r="981" ht="15.75" customHeight="1" s="58"/>
    <row r="982" ht="15.75" customHeight="1" s="58"/>
    <row r="983" ht="15.75" customHeight="1" s="58"/>
    <row r="984" ht="15.75" customHeight="1" s="58"/>
    <row r="985" ht="15.75" customHeight="1" s="58"/>
    <row r="986" ht="15.75" customHeight="1" s="58"/>
    <row r="987" ht="15.75" customHeight="1" s="58"/>
    <row r="988" ht="15.75" customHeight="1" s="58"/>
    <row r="989" ht="15.75" customHeight="1" s="58"/>
    <row r="990" ht="15.75" customHeight="1" s="58"/>
    <row r="991" ht="15.75" customHeight="1" s="58"/>
    <row r="992" ht="15.75" customHeight="1" s="58"/>
    <row r="993" ht="15.75" customHeight="1" s="58"/>
    <row r="994" ht="15.75" customHeight="1" s="58"/>
    <row r="995" ht="15.75" customHeight="1" s="58"/>
    <row r="996" ht="15.75" customHeight="1" s="58"/>
    <row r="997" ht="15.75" customHeight="1" s="58"/>
    <row r="998" ht="15.75" customHeight="1" s="58"/>
    <row r="999" ht="15.75" customHeight="1" s="58"/>
    <row r="1000" ht="15.75" customHeight="1" s="58"/>
  </sheetData>
  <mergeCells count="8">
    <mergeCell ref="A1:C1"/>
    <mergeCell ref="A37:C37"/>
    <mergeCell ref="A8:C8"/>
    <mergeCell ref="A3:C3"/>
    <mergeCell ref="A30:C30"/>
    <mergeCell ref="A15:C15"/>
    <mergeCell ref="A43:C43"/>
    <mergeCell ref="A24:C24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0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89.70999999999999" customWidth="1" style="58" min="1" max="1"/>
    <col width="12.43" customWidth="1" style="58" min="2" max="2"/>
    <col width="15.71" customWidth="1" style="58" min="3" max="3"/>
    <col width="12.43" customWidth="1" style="58" min="4" max="4"/>
    <col width="8" customWidth="1" style="58" min="5" max="5"/>
    <col width="6" customWidth="1" style="58" min="6" max="9"/>
    <col width="6.43" customWidth="1" style="58" min="10" max="10"/>
    <col width="6.29" customWidth="1" style="58" min="11" max="11"/>
    <col width="6.43" customWidth="1" style="58" min="12" max="26"/>
  </cols>
  <sheetData>
    <row r="1" ht="31.5" customHeight="1" s="58">
      <c r="A1" s="59" t="inlineStr">
        <is>
          <t>THE VALLEY CLEAN TEAM — PRICING TABLE</t>
        </is>
      </c>
    </row>
    <row r="2" ht="24" customHeight="1" s="58">
      <c r="A2" s="63" t="inlineStr">
        <is>
          <t>Orange (cols B–S, 750–6,500 sq ft) = existing pricing.   Blue (cols T–Z, 7,000–10,000 sq ft) = extended, market-rate grounded.   Amber rows = estimated labor hours for scheduling.   Discounts: Monthly −15%  |  Bi-Weekly −25%  |  Weekly −30% off Standard.</t>
        </is>
      </c>
    </row>
    <row r="3" ht="21.75" customHeight="1" s="58">
      <c r="A3" s="60" t="inlineStr">
        <is>
          <t>DEEP CLEAN  (First Cleaning)</t>
        </is>
      </c>
    </row>
    <row r="4" ht="18" customHeight="1" s="58">
      <c r="A4" s="9" t="inlineStr">
        <is>
          <t>Sq Ft  →</t>
        </is>
      </c>
      <c r="B4" s="64" t="n">
        <v>750</v>
      </c>
      <c r="C4" s="64" t="n">
        <v>1000</v>
      </c>
      <c r="D4" s="64" t="n">
        <v>1250</v>
      </c>
      <c r="E4" s="64" t="n">
        <v>1500</v>
      </c>
      <c r="F4" s="64" t="n">
        <v>1800</v>
      </c>
      <c r="G4" s="64" t="n">
        <v>2100</v>
      </c>
      <c r="H4" s="64" t="n">
        <v>2400</v>
      </c>
      <c r="I4" s="64" t="n">
        <v>2700</v>
      </c>
      <c r="J4" s="64" t="n">
        <v>3000</v>
      </c>
      <c r="K4" s="64" t="n">
        <v>3300</v>
      </c>
      <c r="L4" s="64" t="n">
        <v>3600</v>
      </c>
      <c r="M4" s="64" t="n">
        <v>4000</v>
      </c>
      <c r="N4" s="64" t="n">
        <v>4400</v>
      </c>
      <c r="O4" s="64" t="n">
        <v>4800</v>
      </c>
      <c r="P4" s="64" t="n">
        <v>5200</v>
      </c>
      <c r="Q4" s="64" t="n">
        <v>5600</v>
      </c>
      <c r="R4" s="64" t="n">
        <v>6000</v>
      </c>
      <c r="S4" s="64" t="n">
        <v>6499</v>
      </c>
      <c r="T4" s="65" t="n">
        <v>6999</v>
      </c>
      <c r="U4" s="65" t="n">
        <v>7499</v>
      </c>
      <c r="V4" s="65" t="n">
        <v>7999</v>
      </c>
      <c r="W4" s="65" t="n">
        <v>8499</v>
      </c>
      <c r="X4" s="65" t="n">
        <v>8999</v>
      </c>
      <c r="Y4" s="65" t="n">
        <v>9499</v>
      </c>
      <c r="Z4" s="65" t="n">
        <v>9999</v>
      </c>
      <c r="AA4" s="65" t="n">
        <v>10000</v>
      </c>
    </row>
    <row r="5" ht="15.75" customHeight="1" s="58">
      <c r="A5" s="15" t="inlineStr">
        <is>
          <t>First Cleaning (Deep Clean)</t>
        </is>
      </c>
      <c r="B5" s="32" t="n">
        <v>276</v>
      </c>
      <c r="C5" s="32" t="n">
        <v>311</v>
      </c>
      <c r="D5" s="32" t="n">
        <v>346</v>
      </c>
      <c r="E5" s="32" t="n">
        <v>381</v>
      </c>
      <c r="F5" s="32" t="n">
        <v>416</v>
      </c>
      <c r="G5" s="32" t="n">
        <v>451</v>
      </c>
      <c r="H5" s="32" t="n">
        <v>506</v>
      </c>
      <c r="I5" s="32" t="n">
        <v>561</v>
      </c>
      <c r="J5" s="32" t="n">
        <v>616</v>
      </c>
      <c r="K5" s="32" t="n">
        <v>671</v>
      </c>
      <c r="L5" s="32" t="n">
        <v>726</v>
      </c>
      <c r="M5" s="32" t="n">
        <v>781</v>
      </c>
      <c r="N5" s="32" t="n">
        <v>836</v>
      </c>
      <c r="O5" s="32" t="n">
        <v>891</v>
      </c>
      <c r="P5" s="32" t="n">
        <v>946</v>
      </c>
      <c r="Q5" s="32" t="n">
        <v>1001</v>
      </c>
      <c r="R5" s="32" t="n">
        <v>1056</v>
      </c>
      <c r="S5" s="32" t="n">
        <v>1056</v>
      </c>
      <c r="T5" s="18" t="n">
        <v>1170</v>
      </c>
      <c r="U5" s="18" t="n">
        <v>1350</v>
      </c>
      <c r="V5" s="18" t="n">
        <v>1550</v>
      </c>
      <c r="W5" s="18" t="n">
        <v>1750</v>
      </c>
      <c r="X5" s="18" t="n">
        <v>1950</v>
      </c>
      <c r="Y5" s="18" t="n">
        <v>2150</v>
      </c>
      <c r="Z5" s="18" t="n">
        <v>2350</v>
      </c>
      <c r="AA5" s="18" t="n">
        <v>2550</v>
      </c>
    </row>
    <row r="6" ht="12.75" customHeight="1" s="58">
      <c r="A6" s="19" t="inlineStr">
        <is>
          <t>Per Sq Ft</t>
        </is>
      </c>
      <c r="B6" s="21">
        <f>IF(B4&gt;0,B5/B4,"")</f>
        <v/>
      </c>
      <c r="C6" s="21">
        <f>IF(C4&gt;0,C5/C4,"")</f>
        <v/>
      </c>
      <c r="D6" s="21">
        <f>IF(D4&gt;0,D5/D4,"")</f>
        <v/>
      </c>
      <c r="E6" s="21">
        <f>IF(E4&gt;0,E5/E4,"")</f>
        <v/>
      </c>
      <c r="F6" s="21">
        <f>IF(F4&gt;0,F5/F4,"")</f>
        <v/>
      </c>
      <c r="G6" s="21">
        <f>IF(G4&gt;0,G5/G4,"")</f>
        <v/>
      </c>
      <c r="H6" s="21">
        <f>IF(H4&gt;0,H5/H4,"")</f>
        <v/>
      </c>
      <c r="I6" s="21">
        <f>IF(I4&gt;0,I5/I4,"")</f>
        <v/>
      </c>
      <c r="J6" s="21">
        <f>IF(J4&gt;0,J5/J4,"")</f>
        <v/>
      </c>
      <c r="K6" s="21">
        <f>IF(K4&gt;0,K5/K4,"")</f>
        <v/>
      </c>
      <c r="L6" s="21">
        <f>IF(L4&gt;0,L5/L4,"")</f>
        <v/>
      </c>
      <c r="M6" s="21">
        <f>IF(M4&gt;0,M5/M4,"")</f>
        <v/>
      </c>
      <c r="N6" s="21">
        <f>IF(N4&gt;0,N5/N4,"")</f>
        <v/>
      </c>
      <c r="O6" s="21">
        <f>IF(O4&gt;0,O5/O4,"")</f>
        <v/>
      </c>
      <c r="P6" s="21">
        <f>IF(P4&gt;0,P5/P4,"")</f>
        <v/>
      </c>
      <c r="Q6" s="21">
        <f>IF(Q4&gt;0,Q5/Q4,"")</f>
        <v/>
      </c>
      <c r="R6" s="21">
        <f>IF(R4&gt;0,R5/R4,"")</f>
        <v/>
      </c>
      <c r="S6" s="21">
        <f>IF(S4&gt;0,S5/S4,"")</f>
        <v/>
      </c>
      <c r="T6" s="24">
        <f>IF(T4&gt;0,T5/T4,"")</f>
        <v/>
      </c>
      <c r="U6" s="24">
        <f>IF(U4&gt;0,U5/U4,"")</f>
        <v/>
      </c>
      <c r="V6" s="24">
        <f>IF(V4&gt;0,V5/V4,"")</f>
        <v/>
      </c>
      <c r="W6" s="24">
        <f>IF(W4&gt;0,W5/W4,"")</f>
        <v/>
      </c>
      <c r="X6" s="24">
        <f>IF(X4&gt;0,X5/X4,"")</f>
        <v/>
      </c>
      <c r="Y6" s="24">
        <f>IF(Y4&gt;0,Y5/Y4,"")</f>
        <v/>
      </c>
      <c r="Z6" s="24">
        <f>IF(Z4&gt;0,Z5/Z4,"")</f>
        <v/>
      </c>
      <c r="AA6" s="24">
        <f>IF(AA4&gt;0,AA5/AA4,"")</f>
        <v/>
      </c>
    </row>
    <row r="7" ht="15.75" customHeight="1" s="58">
      <c r="A7" s="28" t="inlineStr">
        <is>
          <t>Est. Labor Hours</t>
        </is>
      </c>
      <c r="B7" s="30">
        <f>ROUND(B4/1000*Assumptions!$B$32,1)</f>
        <v/>
      </c>
      <c r="C7" s="30">
        <f>ROUND(C4/1000*Assumptions!$B$32,1)</f>
        <v/>
      </c>
      <c r="D7" s="30">
        <f>ROUND(D4/1000*Assumptions!$B$32,1)</f>
        <v/>
      </c>
      <c r="E7" s="30">
        <f>ROUND(E4/1000*Assumptions!$B$32,1)</f>
        <v/>
      </c>
      <c r="F7" s="30">
        <f>ROUND(F4/1000*Assumptions!$B$32,1)</f>
        <v/>
      </c>
      <c r="G7" s="30">
        <f>ROUND(G4/1000*Assumptions!$B$32,1)</f>
        <v/>
      </c>
      <c r="H7" s="30">
        <f>ROUND(H4/1000*Assumptions!$B$32,1)</f>
        <v/>
      </c>
      <c r="I7" s="30">
        <f>ROUND(I4/1000*Assumptions!$B$32,1)</f>
        <v/>
      </c>
      <c r="J7" s="30">
        <f>ROUND(J4/1000*Assumptions!$B$32,1)</f>
        <v/>
      </c>
      <c r="K7" s="30">
        <f>ROUND(K4/1000*Assumptions!$B$32,1)</f>
        <v/>
      </c>
      <c r="L7" s="30">
        <f>ROUND(L4/1000*Assumptions!$B$32,1)</f>
        <v/>
      </c>
      <c r="M7" s="30">
        <f>ROUND(M4/1000*Assumptions!$B$32,1)</f>
        <v/>
      </c>
      <c r="N7" s="30">
        <f>ROUND(N4/1000*Assumptions!$B$32,1)</f>
        <v/>
      </c>
      <c r="O7" s="30">
        <f>ROUND(O4/1000*Assumptions!$B$32,1)</f>
        <v/>
      </c>
      <c r="P7" s="30">
        <f>ROUND(P4/1000*Assumptions!$B$32,1)</f>
        <v/>
      </c>
      <c r="Q7" s="30">
        <f>ROUND(Q4/1000*Assumptions!$B$32,1)</f>
        <v/>
      </c>
      <c r="R7" s="30">
        <f>ROUND(R4/1000*Assumptions!$B$32,1)</f>
        <v/>
      </c>
      <c r="S7" s="30">
        <f>ROUND(S4/1000*Assumptions!$B$32,1)</f>
        <v/>
      </c>
      <c r="T7" s="31">
        <f>ROUND(T4/1000*Assumptions!$B$32,1)</f>
        <v/>
      </c>
      <c r="U7" s="31">
        <f>ROUND(U4/1000*Assumptions!$B$32,1)</f>
        <v/>
      </c>
      <c r="V7" s="31">
        <f>ROUND(V4/1000*Assumptions!$B$32,1)</f>
        <v/>
      </c>
      <c r="W7" s="31">
        <f>ROUND(W4/1000*Assumptions!$B$32,1)</f>
        <v/>
      </c>
      <c r="X7" s="31">
        <f>ROUND(X4/1000*Assumptions!$B$32,1)</f>
        <v/>
      </c>
      <c r="Y7" s="31">
        <f>ROUND(Y4/1000*Assumptions!$B$32,1)</f>
        <v/>
      </c>
      <c r="Z7" s="31">
        <f>ROUND(Z4/1000*Assumptions!$B$32,1)</f>
        <v/>
      </c>
      <c r="AA7" s="31">
        <f>ROUND(AA4/1000*Assumptions!$B$32,1)</f>
        <v/>
      </c>
    </row>
    <row r="8" ht="7.5" customHeight="1" s="58"/>
    <row r="9" ht="21.75" customHeight="1" s="58">
      <c r="A9" s="60" t="inlineStr">
        <is>
          <t>STANDARD / RECURRING CLEAN</t>
        </is>
      </c>
    </row>
    <row r="10" ht="18" customHeight="1" s="58">
      <c r="A10" s="9" t="inlineStr">
        <is>
          <t>Sq Ft  →</t>
        </is>
      </c>
      <c r="B10" s="64" t="n">
        <v>750</v>
      </c>
      <c r="C10" s="64" t="n">
        <v>1000</v>
      </c>
      <c r="D10" s="64" t="n">
        <v>1250</v>
      </c>
      <c r="E10" s="64" t="n">
        <v>1500</v>
      </c>
      <c r="F10" s="64" t="n">
        <v>1800</v>
      </c>
      <c r="G10" s="64" t="n">
        <v>2100</v>
      </c>
      <c r="H10" s="64" t="n">
        <v>2400</v>
      </c>
      <c r="I10" s="64" t="n">
        <v>2700</v>
      </c>
      <c r="J10" s="64" t="n">
        <v>3000</v>
      </c>
      <c r="K10" s="64" t="n">
        <v>3300</v>
      </c>
      <c r="L10" s="64" t="n">
        <v>3600</v>
      </c>
      <c r="M10" s="64" t="n">
        <v>4000</v>
      </c>
      <c r="N10" s="64" t="n">
        <v>4400</v>
      </c>
      <c r="O10" s="64" t="n">
        <v>4800</v>
      </c>
      <c r="P10" s="64" t="n">
        <v>5200</v>
      </c>
      <c r="Q10" s="64" t="n">
        <v>5600</v>
      </c>
      <c r="R10" s="64" t="n">
        <v>6000</v>
      </c>
      <c r="S10" s="64" t="n">
        <v>6499</v>
      </c>
      <c r="T10" s="65" t="n">
        <v>6999</v>
      </c>
      <c r="U10" s="65" t="n">
        <v>7499</v>
      </c>
      <c r="V10" s="65" t="n">
        <v>7999</v>
      </c>
      <c r="W10" s="65" t="n">
        <v>8499</v>
      </c>
      <c r="X10" s="65" t="n">
        <v>8999</v>
      </c>
      <c r="Y10" s="65" t="n">
        <v>9499</v>
      </c>
      <c r="Z10" s="65" t="n">
        <v>9999</v>
      </c>
      <c r="AA10" s="65" t="n">
        <v>10000</v>
      </c>
    </row>
    <row r="11" ht="15.75" customHeight="1" s="58">
      <c r="A11" s="15" t="inlineStr">
        <is>
          <t>Standard Clean (one-time)</t>
        </is>
      </c>
      <c r="B11" s="32" t="n">
        <v>176</v>
      </c>
      <c r="C11" s="32" t="n">
        <v>211</v>
      </c>
      <c r="D11" s="32" t="n">
        <v>246</v>
      </c>
      <c r="E11" s="32" t="n">
        <v>281</v>
      </c>
      <c r="F11" s="32" t="n">
        <v>316</v>
      </c>
      <c r="G11" s="32" t="n">
        <v>351</v>
      </c>
      <c r="H11" s="32" t="n">
        <v>381</v>
      </c>
      <c r="I11" s="32" t="n">
        <v>436</v>
      </c>
      <c r="J11" s="32" t="n">
        <v>491</v>
      </c>
      <c r="K11" s="32" t="n">
        <v>546</v>
      </c>
      <c r="L11" s="32" t="n">
        <v>601</v>
      </c>
      <c r="M11" s="32" t="n">
        <v>656</v>
      </c>
      <c r="N11" s="32" t="n">
        <v>711</v>
      </c>
      <c r="O11" s="32" t="n">
        <v>766</v>
      </c>
      <c r="P11" s="32" t="n">
        <v>821</v>
      </c>
      <c r="Q11" s="32" t="n">
        <v>876</v>
      </c>
      <c r="R11" s="32" t="n">
        <v>931</v>
      </c>
      <c r="S11" s="32" t="n">
        <v>931</v>
      </c>
      <c r="T11" s="18" t="n">
        <v>1045</v>
      </c>
      <c r="U11" s="18" t="n">
        <v>1200</v>
      </c>
      <c r="V11" s="18" t="n">
        <v>1375</v>
      </c>
      <c r="W11" s="18" t="n">
        <v>1550</v>
      </c>
      <c r="X11" s="18" t="n">
        <v>1725</v>
      </c>
      <c r="Y11" s="18" t="n">
        <v>1900</v>
      </c>
      <c r="Z11" s="18" t="n">
        <v>2075</v>
      </c>
      <c r="AA11" s="18" t="n">
        <v>2250</v>
      </c>
    </row>
    <row r="12" ht="15.75" customHeight="1" s="58">
      <c r="A12" s="33" t="inlineStr">
        <is>
          <t>Monthly Clean (15% off)</t>
        </is>
      </c>
      <c r="B12" s="34" t="n">
        <v>149</v>
      </c>
      <c r="C12" s="34" t="n">
        <v>179</v>
      </c>
      <c r="D12" s="34" t="n">
        <v>209</v>
      </c>
      <c r="E12" s="34" t="n">
        <v>239</v>
      </c>
      <c r="F12" s="34" t="n">
        <v>268</v>
      </c>
      <c r="G12" s="34" t="n">
        <v>298</v>
      </c>
      <c r="H12" s="34" t="n">
        <v>324</v>
      </c>
      <c r="I12" s="34" t="n">
        <v>370</v>
      </c>
      <c r="J12" s="34" t="n">
        <v>417</v>
      </c>
      <c r="K12" s="34" t="n">
        <v>464</v>
      </c>
      <c r="L12" s="34" t="n">
        <v>511</v>
      </c>
      <c r="M12" s="34" t="n">
        <v>557</v>
      </c>
      <c r="N12" s="34" t="n">
        <v>604</v>
      </c>
      <c r="O12" s="34" t="n">
        <v>651</v>
      </c>
      <c r="P12" s="34" t="n">
        <v>698</v>
      </c>
      <c r="Q12" s="34" t="n">
        <v>744</v>
      </c>
      <c r="R12" s="34" t="n">
        <v>791</v>
      </c>
      <c r="S12" s="34" t="n">
        <v>791</v>
      </c>
      <c r="T12" s="18" t="n">
        <v>888</v>
      </c>
      <c r="U12" s="18" t="n">
        <v>1020</v>
      </c>
      <c r="V12" s="18" t="n">
        <v>1170</v>
      </c>
      <c r="W12" s="18" t="n">
        <v>1320</v>
      </c>
      <c r="X12" s="18" t="n">
        <v>1470</v>
      </c>
      <c r="Y12" s="18" t="n">
        <v>1615</v>
      </c>
      <c r="Z12" s="18" t="n">
        <v>1760</v>
      </c>
      <c r="AA12" s="18" t="n">
        <v>1910</v>
      </c>
    </row>
    <row r="13" ht="15.75" customHeight="1" s="58">
      <c r="A13" s="33" t="inlineStr">
        <is>
          <t>Bi-Weekly Clean (25% off)</t>
        </is>
      </c>
      <c r="B13" s="34" t="n">
        <v>132</v>
      </c>
      <c r="C13" s="34" t="n">
        <v>158</v>
      </c>
      <c r="D13" s="34" t="n">
        <v>184</v>
      </c>
      <c r="E13" s="34" t="n">
        <v>211</v>
      </c>
      <c r="F13" s="34" t="n">
        <v>237</v>
      </c>
      <c r="G13" s="34" t="n">
        <v>263</v>
      </c>
      <c r="H13" s="34" t="n">
        <v>286</v>
      </c>
      <c r="I13" s="34" t="n">
        <v>327</v>
      </c>
      <c r="J13" s="34" t="n">
        <v>368</v>
      </c>
      <c r="K13" s="34" t="n">
        <v>409</v>
      </c>
      <c r="L13" s="34" t="n">
        <v>451</v>
      </c>
      <c r="M13" s="34" t="n">
        <v>492</v>
      </c>
      <c r="N13" s="34" t="n">
        <v>533</v>
      </c>
      <c r="O13" s="34" t="n">
        <v>574</v>
      </c>
      <c r="P13" s="34" t="n">
        <v>616</v>
      </c>
      <c r="Q13" s="34" t="n">
        <v>657</v>
      </c>
      <c r="R13" s="34" t="n">
        <v>698</v>
      </c>
      <c r="S13" s="34" t="n">
        <v>698</v>
      </c>
      <c r="T13" s="18" t="n">
        <v>784</v>
      </c>
      <c r="U13" s="18" t="n">
        <v>900</v>
      </c>
      <c r="V13" s="18" t="n">
        <v>1030</v>
      </c>
      <c r="W13" s="18" t="n">
        <v>1160</v>
      </c>
      <c r="X13" s="18" t="n">
        <v>1290</v>
      </c>
      <c r="Y13" s="18" t="n">
        <v>1425</v>
      </c>
      <c r="Z13" s="18" t="n">
        <v>1560</v>
      </c>
      <c r="AA13" s="18" t="n">
        <v>1690</v>
      </c>
    </row>
    <row r="14" ht="15.75" customHeight="1" s="58">
      <c r="A14" s="35" t="inlineStr">
        <is>
          <t>Weekly Clean (30% off)</t>
        </is>
      </c>
      <c r="B14" s="36" t="n">
        <v>123</v>
      </c>
      <c r="C14" s="36" t="n">
        <v>147</v>
      </c>
      <c r="D14" s="36" t="n">
        <v>172</v>
      </c>
      <c r="E14" s="36" t="n">
        <v>196</v>
      </c>
      <c r="F14" s="36" t="n">
        <v>221</v>
      </c>
      <c r="G14" s="36" t="n">
        <v>245</v>
      </c>
      <c r="H14" s="36" t="n">
        <v>266</v>
      </c>
      <c r="I14" s="36" t="n">
        <v>305</v>
      </c>
      <c r="J14" s="36" t="n">
        <v>343</v>
      </c>
      <c r="K14" s="36" t="n">
        <v>382</v>
      </c>
      <c r="L14" s="36" t="n">
        <v>420</v>
      </c>
      <c r="M14" s="36" t="n">
        <v>459</v>
      </c>
      <c r="N14" s="36" t="n">
        <v>497</v>
      </c>
      <c r="O14" s="36" t="n">
        <v>536</v>
      </c>
      <c r="P14" s="36" t="n">
        <v>574</v>
      </c>
      <c r="Q14" s="36" t="n">
        <v>613</v>
      </c>
      <c r="R14" s="36" t="n">
        <v>651</v>
      </c>
      <c r="S14" s="36" t="n">
        <v>651</v>
      </c>
      <c r="T14" s="18" t="n">
        <v>732</v>
      </c>
      <c r="U14" s="18" t="n">
        <v>840</v>
      </c>
      <c r="V14" s="18" t="n">
        <v>960</v>
      </c>
      <c r="W14" s="18" t="n">
        <v>1090</v>
      </c>
      <c r="X14" s="18" t="n">
        <v>1210</v>
      </c>
      <c r="Y14" s="18" t="n">
        <v>1330</v>
      </c>
      <c r="Z14" s="18" t="n">
        <v>1450</v>
      </c>
      <c r="AA14" s="18" t="n">
        <v>1580</v>
      </c>
    </row>
    <row r="15" ht="12.75" customHeight="1" s="58">
      <c r="A15" s="37" t="inlineStr">
        <is>
          <t>Weekly — Per Sq Ft</t>
        </is>
      </c>
      <c r="B15" s="38">
        <f>IF(B10&gt;0,B14/B10,"")</f>
        <v/>
      </c>
      <c r="C15" s="38">
        <f>IF(C10&gt;0,C14/C10,"")</f>
        <v/>
      </c>
      <c r="D15" s="38">
        <f>IF(D10&gt;0,D14/D10,"")</f>
        <v/>
      </c>
      <c r="E15" s="38">
        <f>IF(E10&gt;0,E14/E10,"")</f>
        <v/>
      </c>
      <c r="F15" s="38">
        <f>IF(F10&gt;0,F14/F10,"")</f>
        <v/>
      </c>
      <c r="G15" s="38">
        <f>IF(G10&gt;0,G14/G10,"")</f>
        <v/>
      </c>
      <c r="H15" s="38">
        <f>IF(H10&gt;0,H14/H10,"")</f>
        <v/>
      </c>
      <c r="I15" s="38">
        <f>IF(I10&gt;0,I14/I10,"")</f>
        <v/>
      </c>
      <c r="J15" s="38">
        <f>IF(J10&gt;0,J14/J10,"")</f>
        <v/>
      </c>
      <c r="K15" s="38">
        <f>IF(K10&gt;0,K14/K10,"")</f>
        <v/>
      </c>
      <c r="L15" s="38">
        <f>IF(L10&gt;0,L14/L10,"")</f>
        <v/>
      </c>
      <c r="M15" s="38">
        <f>IF(M10&gt;0,M14/M10,"")</f>
        <v/>
      </c>
      <c r="N15" s="38">
        <f>IF(N10&gt;0,N14/N10,"")</f>
        <v/>
      </c>
      <c r="O15" s="38">
        <f>IF(O10&gt;0,O14/O10,"")</f>
        <v/>
      </c>
      <c r="P15" s="38">
        <f>IF(P10&gt;0,P14/P10,"")</f>
        <v/>
      </c>
      <c r="Q15" s="38">
        <f>IF(Q10&gt;0,Q14/Q10,"")</f>
        <v/>
      </c>
      <c r="R15" s="38">
        <f>IF(R10&gt;0,R14/R10,"")</f>
        <v/>
      </c>
      <c r="S15" s="38">
        <f>IF(S10&gt;0,S14/S10,"")</f>
        <v/>
      </c>
      <c r="T15" s="24">
        <f>IF(T10&gt;0,T14/T10,"")</f>
        <v/>
      </c>
      <c r="U15" s="24">
        <f>IF(U10&gt;0,U14/U10,"")</f>
        <v/>
      </c>
      <c r="V15" s="24">
        <f>IF(V10&gt;0,V14/V10,"")</f>
        <v/>
      </c>
      <c r="W15" s="24">
        <f>IF(W10&gt;0,W14/W10,"")</f>
        <v/>
      </c>
      <c r="X15" s="24">
        <f>IF(X10&gt;0,X14/X10,"")</f>
        <v/>
      </c>
      <c r="Y15" s="24">
        <f>IF(Y10&gt;0,Y14/Y10,"")</f>
        <v/>
      </c>
      <c r="Z15" s="24">
        <f>IF(Z10&gt;0,Z14/Z10,"")</f>
        <v/>
      </c>
      <c r="AA15" s="24">
        <f>IF(AA10&gt;0,AA14/AA10,"")</f>
        <v/>
      </c>
    </row>
    <row r="16" ht="15.75" customHeight="1" s="58">
      <c r="A16" s="28" t="inlineStr">
        <is>
          <t>Est. Labor Hours</t>
        </is>
      </c>
      <c r="B16" s="30">
        <f>ROUND(B10/1000*Assumptions!$B$33,1)</f>
        <v/>
      </c>
      <c r="C16" s="30">
        <f>ROUND(C10/1000*Assumptions!$B$33,1)</f>
        <v/>
      </c>
      <c r="D16" s="30">
        <f>ROUND(D10/1000*Assumptions!$B$33,1)</f>
        <v/>
      </c>
      <c r="E16" s="30">
        <f>ROUND(E10/1000*Assumptions!$B$33,1)</f>
        <v/>
      </c>
      <c r="F16" s="30">
        <f>ROUND(F10/1000*Assumptions!$B$33,1)</f>
        <v/>
      </c>
      <c r="G16" s="30">
        <f>ROUND(G10/1000*Assumptions!$B$33,1)</f>
        <v/>
      </c>
      <c r="H16" s="30">
        <f>ROUND(H10/1000*Assumptions!$B$33,1)</f>
        <v/>
      </c>
      <c r="I16" s="30">
        <f>ROUND(I10/1000*Assumptions!$B$33,1)</f>
        <v/>
      </c>
      <c r="J16" s="30">
        <f>ROUND(J10/1000*Assumptions!$B$33,1)</f>
        <v/>
      </c>
      <c r="K16" s="30">
        <f>ROUND(K10/1000*Assumptions!$B$33,1)</f>
        <v/>
      </c>
      <c r="L16" s="30">
        <f>ROUND(L10/1000*Assumptions!$B$33,1)</f>
        <v/>
      </c>
      <c r="M16" s="30">
        <f>ROUND(M10/1000*Assumptions!$B$33,1)</f>
        <v/>
      </c>
      <c r="N16" s="30">
        <f>ROUND(N10/1000*Assumptions!$B$33,1)</f>
        <v/>
      </c>
      <c r="O16" s="30">
        <f>ROUND(O10/1000*Assumptions!$B$33,1)</f>
        <v/>
      </c>
      <c r="P16" s="30">
        <f>ROUND(P10/1000*Assumptions!$B$33,1)</f>
        <v/>
      </c>
      <c r="Q16" s="30">
        <f>ROUND(Q10/1000*Assumptions!$B$33,1)</f>
        <v/>
      </c>
      <c r="R16" s="30">
        <f>ROUND(R10/1000*Assumptions!$B$33,1)</f>
        <v/>
      </c>
      <c r="S16" s="30">
        <f>ROUND(S10/1000*Assumptions!$B$33,1)</f>
        <v/>
      </c>
      <c r="T16" s="31">
        <f>ROUND(T10/1000*Assumptions!$B$33,1)</f>
        <v/>
      </c>
      <c r="U16" s="31">
        <f>ROUND(U10/1000*Assumptions!$B$33,1)</f>
        <v/>
      </c>
      <c r="V16" s="31">
        <f>ROUND(V10/1000*Assumptions!$B$33,1)</f>
        <v/>
      </c>
      <c r="W16" s="31">
        <f>ROUND(W10/1000*Assumptions!$B$33,1)</f>
        <v/>
      </c>
      <c r="X16" s="31">
        <f>ROUND(X10/1000*Assumptions!$B$33,1)</f>
        <v/>
      </c>
      <c r="Y16" s="31">
        <f>ROUND(Y10/1000*Assumptions!$B$33,1)</f>
        <v/>
      </c>
      <c r="Z16" s="31">
        <f>ROUND(Z10/1000*Assumptions!$B$33,1)</f>
        <v/>
      </c>
      <c r="AA16" s="31">
        <f>ROUND(AA10/1000*Assumptions!$B$33,1)</f>
        <v/>
      </c>
    </row>
    <row r="17" ht="7.5" customHeight="1" s="58"/>
    <row r="18" ht="21.75" customHeight="1" s="58">
      <c r="A18" s="60" t="inlineStr">
        <is>
          <t>MOVE IN / MOVE OUT  (+$75 above Deep Clean)</t>
        </is>
      </c>
    </row>
    <row r="19" ht="18" customHeight="1" s="58">
      <c r="A19" s="9" t="inlineStr">
        <is>
          <t>Sq Ft  →</t>
        </is>
      </c>
      <c r="B19" s="64" t="n">
        <v>750</v>
      </c>
      <c r="C19" s="64" t="n">
        <v>1000</v>
      </c>
      <c r="D19" s="64" t="n">
        <v>1250</v>
      </c>
      <c r="E19" s="64" t="n">
        <v>1500</v>
      </c>
      <c r="F19" s="64" t="n">
        <v>1800</v>
      </c>
      <c r="G19" s="64" t="n">
        <v>2100</v>
      </c>
      <c r="H19" s="64" t="n">
        <v>2400</v>
      </c>
      <c r="I19" s="64" t="n">
        <v>2700</v>
      </c>
      <c r="J19" s="64" t="n">
        <v>3000</v>
      </c>
      <c r="K19" s="64" t="n">
        <v>3300</v>
      </c>
      <c r="L19" s="64" t="n">
        <v>3600</v>
      </c>
      <c r="M19" s="64" t="n">
        <v>4000</v>
      </c>
      <c r="N19" s="64" t="n">
        <v>4400</v>
      </c>
      <c r="O19" s="64" t="n">
        <v>4800</v>
      </c>
      <c r="P19" s="64" t="n">
        <v>5200</v>
      </c>
      <c r="Q19" s="64" t="n">
        <v>5600</v>
      </c>
      <c r="R19" s="64" t="n">
        <v>6000</v>
      </c>
      <c r="S19" s="64" t="n">
        <v>6499</v>
      </c>
      <c r="T19" s="65" t="n">
        <v>6999</v>
      </c>
      <c r="U19" s="65" t="n">
        <v>7499</v>
      </c>
      <c r="V19" s="65" t="n">
        <v>7999</v>
      </c>
      <c r="W19" s="65" t="n">
        <v>8499</v>
      </c>
      <c r="X19" s="65" t="n">
        <v>8999</v>
      </c>
      <c r="Y19" s="65" t="n">
        <v>9499</v>
      </c>
      <c r="Z19" s="65" t="n">
        <v>9999</v>
      </c>
      <c r="AA19" s="65" t="n">
        <v>10000</v>
      </c>
    </row>
    <row r="20" ht="15.75" customHeight="1" s="58">
      <c r="A20" s="15" t="inlineStr">
        <is>
          <t>Move In / Out Clean</t>
        </is>
      </c>
      <c r="B20" s="32" t="n">
        <v>351</v>
      </c>
      <c r="C20" s="32" t="n">
        <v>386</v>
      </c>
      <c r="D20" s="32" t="n">
        <v>421</v>
      </c>
      <c r="E20" s="32" t="n">
        <v>456</v>
      </c>
      <c r="F20" s="32" t="n">
        <v>491</v>
      </c>
      <c r="G20" s="32" t="n">
        <v>526</v>
      </c>
      <c r="H20" s="32" t="n">
        <v>581</v>
      </c>
      <c r="I20" s="32" t="n">
        <v>636</v>
      </c>
      <c r="J20" s="32" t="n">
        <v>691</v>
      </c>
      <c r="K20" s="32" t="n">
        <v>746</v>
      </c>
      <c r="L20" s="32" t="n">
        <v>801</v>
      </c>
      <c r="M20" s="32" t="n">
        <v>856</v>
      </c>
      <c r="N20" s="32" t="n">
        <v>911</v>
      </c>
      <c r="O20" s="32" t="n">
        <v>966</v>
      </c>
      <c r="P20" s="32" t="n">
        <v>1021</v>
      </c>
      <c r="Q20" s="32" t="n">
        <v>1076</v>
      </c>
      <c r="R20" s="32" t="n">
        <v>1131</v>
      </c>
      <c r="S20" s="32" t="n">
        <v>1131</v>
      </c>
      <c r="T20" s="18" t="n">
        <v>1181</v>
      </c>
      <c r="U20" s="18" t="n">
        <v>1425</v>
      </c>
      <c r="V20" s="18" t="n">
        <v>1625</v>
      </c>
      <c r="W20" s="18" t="n">
        <v>1825</v>
      </c>
      <c r="X20" s="18" t="n">
        <v>2025</v>
      </c>
      <c r="Y20" s="18" t="n">
        <v>2225</v>
      </c>
      <c r="Z20" s="18" t="n">
        <v>2425</v>
      </c>
      <c r="AA20" s="18" t="n">
        <v>2625</v>
      </c>
    </row>
    <row r="21" ht="12.75" customHeight="1" s="58">
      <c r="A21" s="19" t="inlineStr">
        <is>
          <t>Per Sq Ft</t>
        </is>
      </c>
      <c r="B21" s="21">
        <f>IF(B19&gt;0,B20/B19,"")</f>
        <v/>
      </c>
      <c r="C21" s="21">
        <f>IF(C19&gt;0,C20/C19,"")</f>
        <v/>
      </c>
      <c r="D21" s="21">
        <f>IF(D19&gt;0,D20/D19,"")</f>
        <v/>
      </c>
      <c r="E21" s="21">
        <f>IF(E19&gt;0,E20/E19,"")</f>
        <v/>
      </c>
      <c r="F21" s="21">
        <f>IF(F19&gt;0,F20/F19,"")</f>
        <v/>
      </c>
      <c r="G21" s="21">
        <f>IF(G19&gt;0,G20/G19,"")</f>
        <v/>
      </c>
      <c r="H21" s="21">
        <f>IF(H19&gt;0,H20/H19,"")</f>
        <v/>
      </c>
      <c r="I21" s="21">
        <f>IF(I19&gt;0,I20/I19,"")</f>
        <v/>
      </c>
      <c r="J21" s="21">
        <f>IF(J19&gt;0,J20/J19,"")</f>
        <v/>
      </c>
      <c r="K21" s="21">
        <f>IF(K19&gt;0,K20/K19,"")</f>
        <v/>
      </c>
      <c r="L21" s="21">
        <f>IF(L19&gt;0,L20/L19,"")</f>
        <v/>
      </c>
      <c r="M21" s="21">
        <f>IF(M19&gt;0,M20/M19,"")</f>
        <v/>
      </c>
      <c r="N21" s="21">
        <f>IF(N19&gt;0,N20/N19,"")</f>
        <v/>
      </c>
      <c r="O21" s="21">
        <f>IF(O19&gt;0,O20/O19,"")</f>
        <v/>
      </c>
      <c r="P21" s="21">
        <f>IF(P19&gt;0,P20/P19,"")</f>
        <v/>
      </c>
      <c r="Q21" s="21">
        <f>IF(Q19&gt;0,Q20/Q19,"")</f>
        <v/>
      </c>
      <c r="R21" s="21">
        <f>IF(R19&gt;0,R20/R19,"")</f>
        <v/>
      </c>
      <c r="S21" s="21">
        <f>IF(S19&gt;0,S20/S19,"")</f>
        <v/>
      </c>
      <c r="T21" s="24">
        <f>IF(T19&gt;0,T20/T19,"")</f>
        <v/>
      </c>
      <c r="U21" s="24">
        <f>IF(U19&gt;0,U20/U19,"")</f>
        <v/>
      </c>
      <c r="V21" s="24">
        <f>IF(V19&gt;0,V20/V19,"")</f>
        <v/>
      </c>
      <c r="W21" s="24">
        <f>IF(W19&gt;0,W20/W19,"")</f>
        <v/>
      </c>
      <c r="X21" s="24">
        <f>IF(X19&gt;0,X20/X19,"")</f>
        <v/>
      </c>
      <c r="Y21" s="24">
        <f>IF(Y19&gt;0,Y20/Y19,"")</f>
        <v/>
      </c>
      <c r="Z21" s="24">
        <f>IF(Z19&gt;0,Z20/Z19,"")</f>
        <v/>
      </c>
      <c r="AA21" s="24">
        <f>IF(AA19&gt;0,AA20/AA19,"")</f>
        <v/>
      </c>
    </row>
    <row r="22" ht="15.75" customHeight="1" s="58">
      <c r="A22" s="28" t="inlineStr">
        <is>
          <t>Est. Labor Hours</t>
        </is>
      </c>
      <c r="B22" s="30">
        <f>ROUND(B19/1000*Assumptions!$B$34,1)</f>
        <v/>
      </c>
      <c r="C22" s="30">
        <f>ROUND(C19/1000*Assumptions!$B$34,1)</f>
        <v/>
      </c>
      <c r="D22" s="30">
        <f>ROUND(D19/1000*Assumptions!$B$34,1)</f>
        <v/>
      </c>
      <c r="E22" s="30">
        <f>ROUND(E19/1000*Assumptions!$B$34,1)</f>
        <v/>
      </c>
      <c r="F22" s="30">
        <f>ROUND(F19/1000*Assumptions!$B$34,1)</f>
        <v/>
      </c>
      <c r="G22" s="30">
        <f>ROUND(G19/1000*Assumptions!$B$34,1)</f>
        <v/>
      </c>
      <c r="H22" s="30">
        <f>ROUND(H19/1000*Assumptions!$B$34,1)</f>
        <v/>
      </c>
      <c r="I22" s="30">
        <f>ROUND(I19/1000*Assumptions!$B$34,1)</f>
        <v/>
      </c>
      <c r="J22" s="30">
        <f>ROUND(J19/1000*Assumptions!$B$34,1)</f>
        <v/>
      </c>
      <c r="K22" s="30">
        <f>ROUND(K19/1000*Assumptions!$B$34,1)</f>
        <v/>
      </c>
      <c r="L22" s="30">
        <f>ROUND(L19/1000*Assumptions!$B$34,1)</f>
        <v/>
      </c>
      <c r="M22" s="30">
        <f>ROUND(M19/1000*Assumptions!$B$34,1)</f>
        <v/>
      </c>
      <c r="N22" s="30">
        <f>ROUND(N19/1000*Assumptions!$B$34,1)</f>
        <v/>
      </c>
      <c r="O22" s="30">
        <f>ROUND(O19/1000*Assumptions!$B$34,1)</f>
        <v/>
      </c>
      <c r="P22" s="30">
        <f>ROUND(P19/1000*Assumptions!$B$34,1)</f>
        <v/>
      </c>
      <c r="Q22" s="30">
        <f>ROUND(Q19/1000*Assumptions!$B$34,1)</f>
        <v/>
      </c>
      <c r="R22" s="30">
        <f>ROUND(R19/1000*Assumptions!$B$34,1)</f>
        <v/>
      </c>
      <c r="S22" s="30">
        <f>ROUND(S19/1000*Assumptions!$B$34,1)</f>
        <v/>
      </c>
      <c r="T22" s="31">
        <f>ROUND(T19/1000*Assumptions!$B$34,1)</f>
        <v/>
      </c>
      <c r="U22" s="31">
        <f>ROUND(U19/1000*Assumptions!$B$34,1)</f>
        <v/>
      </c>
      <c r="V22" s="31">
        <f>ROUND(V19/1000*Assumptions!$B$34,1)</f>
        <v/>
      </c>
      <c r="W22" s="31">
        <f>ROUND(W19/1000*Assumptions!$B$34,1)</f>
        <v/>
      </c>
      <c r="X22" s="31">
        <f>ROUND(X19/1000*Assumptions!$B$34,1)</f>
        <v/>
      </c>
      <c r="Y22" s="31">
        <f>ROUND(Y19/1000*Assumptions!$B$34,1)</f>
        <v/>
      </c>
      <c r="Z22" s="31">
        <f>ROUND(Z19/1000*Assumptions!$B$34,1)</f>
        <v/>
      </c>
      <c r="AA22" s="31">
        <f>ROUND(AA19/1000*Assumptions!$B$34,1)</f>
        <v/>
      </c>
    </row>
    <row r="23" ht="7.5" customHeight="1" s="58"/>
    <row r="24" ht="21.75" customHeight="1" s="58">
      <c r="A24" s="60" t="inlineStr">
        <is>
          <t>POST-CONSTRUCTION CLEAN UP</t>
        </is>
      </c>
    </row>
    <row r="25" ht="25.5" customHeight="1" s="58">
      <c r="A25" s="66" t="inlineStr">
        <is>
          <t>⚠️  RATE CHANGE FOR 7,000+ SQ FT: Existing prices used '50% above Move In/Out' formula — which underprices large new builds. Extended range uses $0.50/sq ft, grounded in Nashville post-construction market rates ($3,200–$4,400 for 8,000 sq ft).</t>
        </is>
      </c>
    </row>
    <row r="26" ht="18" customHeight="1" s="58">
      <c r="A26" s="9" t="inlineStr">
        <is>
          <t>Sq Ft  →</t>
        </is>
      </c>
      <c r="B26" s="64" t="n">
        <v>750</v>
      </c>
      <c r="C26" s="64" t="n">
        <v>1000</v>
      </c>
      <c r="D26" s="64" t="n">
        <v>1250</v>
      </c>
      <c r="E26" s="64" t="n">
        <v>1500</v>
      </c>
      <c r="F26" s="64" t="n">
        <v>1800</v>
      </c>
      <c r="G26" s="64" t="n">
        <v>2100</v>
      </c>
      <c r="H26" s="64" t="n">
        <v>2400</v>
      </c>
      <c r="I26" s="64" t="n">
        <v>2700</v>
      </c>
      <c r="J26" s="64" t="n">
        <v>3000</v>
      </c>
      <c r="K26" s="64" t="n">
        <v>3300</v>
      </c>
      <c r="L26" s="64" t="n">
        <v>3600</v>
      </c>
      <c r="M26" s="64" t="n">
        <v>4000</v>
      </c>
      <c r="N26" s="64" t="n">
        <v>4400</v>
      </c>
      <c r="O26" s="64" t="n">
        <v>4700</v>
      </c>
      <c r="P26" s="64" t="n">
        <v>5200</v>
      </c>
      <c r="Q26" s="64" t="n">
        <v>5600</v>
      </c>
      <c r="R26" s="64" t="n">
        <v>6000</v>
      </c>
      <c r="S26" s="64" t="n">
        <v>6500</v>
      </c>
      <c r="T26" s="65" t="n">
        <v>7000</v>
      </c>
      <c r="U26" s="65" t="n">
        <v>7500</v>
      </c>
      <c r="V26" s="65" t="n">
        <v>8000</v>
      </c>
      <c r="W26" s="65" t="n">
        <v>8500</v>
      </c>
      <c r="X26" s="65" t="n">
        <v>9000</v>
      </c>
      <c r="Y26" s="65" t="n">
        <v>9500</v>
      </c>
      <c r="Z26" s="65" t="n">
        <v>10000</v>
      </c>
    </row>
    <row r="27" ht="15.75" customHeight="1" s="58">
      <c r="A27" s="15" t="inlineStr">
        <is>
          <t>Construction Clean Up</t>
        </is>
      </c>
      <c r="B27" s="32" t="n">
        <v>526</v>
      </c>
      <c r="C27" s="32" t="n">
        <v>579</v>
      </c>
      <c r="D27" s="32" t="n">
        <v>631</v>
      </c>
      <c r="E27" s="32" t="n">
        <v>684</v>
      </c>
      <c r="F27" s="32" t="n">
        <v>736</v>
      </c>
      <c r="G27" s="32" t="n">
        <v>789</v>
      </c>
      <c r="H27" s="32" t="n">
        <v>871</v>
      </c>
      <c r="I27" s="32" t="n">
        <v>954</v>
      </c>
      <c r="J27" s="32" t="n">
        <v>1036</v>
      </c>
      <c r="K27" s="32" t="n">
        <v>1119</v>
      </c>
      <c r="L27" s="32" t="n">
        <v>1201</v>
      </c>
      <c r="M27" s="32" t="n">
        <v>1284</v>
      </c>
      <c r="N27" s="32" t="n">
        <v>1366</v>
      </c>
      <c r="O27" s="32" t="n">
        <v>1449</v>
      </c>
      <c r="P27" s="32" t="n">
        <v>1531</v>
      </c>
      <c r="Q27" s="32" t="n">
        <v>1614</v>
      </c>
      <c r="R27" s="32" t="n">
        <v>1696</v>
      </c>
      <c r="S27" s="32" t="n">
        <v>1820</v>
      </c>
      <c r="T27" s="18" t="n">
        <v>3500</v>
      </c>
      <c r="U27" s="18" t="n">
        <v>3750</v>
      </c>
      <c r="V27" s="18" t="n">
        <v>4000</v>
      </c>
      <c r="W27" s="18" t="n">
        <v>4250</v>
      </c>
      <c r="X27" s="18" t="n">
        <v>4500</v>
      </c>
      <c r="Y27" s="18" t="n">
        <v>4750</v>
      </c>
      <c r="Z27" s="18" t="n">
        <v>5000</v>
      </c>
    </row>
    <row r="28" ht="12.75" customHeight="1" s="58">
      <c r="A28" s="19" t="inlineStr">
        <is>
          <t>Per Sq Ft</t>
        </is>
      </c>
      <c r="B28" s="21">
        <f>IF(B26&gt;0,B27/B26,"")</f>
        <v/>
      </c>
      <c r="C28" s="21">
        <f>IF(C26&gt;0,C27/C26,"")</f>
        <v/>
      </c>
      <c r="D28" s="21">
        <f>IF(D26&gt;0,D27/D26,"")</f>
        <v/>
      </c>
      <c r="E28" s="21">
        <f>IF(E26&gt;0,E27/E26,"")</f>
        <v/>
      </c>
      <c r="F28" s="21">
        <f>IF(F26&gt;0,F27/F26,"")</f>
        <v/>
      </c>
      <c r="G28" s="21">
        <f>IF(G26&gt;0,G27/G26,"")</f>
        <v/>
      </c>
      <c r="H28" s="21">
        <f>IF(H26&gt;0,H27/H26,"")</f>
        <v/>
      </c>
      <c r="I28" s="21">
        <f>IF(I26&gt;0,I27/I26,"")</f>
        <v/>
      </c>
      <c r="J28" s="21">
        <f>IF(J26&gt;0,J27/J26,"")</f>
        <v/>
      </c>
      <c r="K28" s="21">
        <f>IF(K26&gt;0,K27/K26,"")</f>
        <v/>
      </c>
      <c r="L28" s="21">
        <f>IF(L26&gt;0,L27/L26,"")</f>
        <v/>
      </c>
      <c r="M28" s="21">
        <f>IF(M26&gt;0,M27/M26,"")</f>
        <v/>
      </c>
      <c r="N28" s="21">
        <f>IF(N26&gt;0,N27/N26,"")</f>
        <v/>
      </c>
      <c r="O28" s="21">
        <f>IF(O26&gt;0,O27/O26,"")</f>
        <v/>
      </c>
      <c r="P28" s="21">
        <f>IF(P26&gt;0,P27/P26,"")</f>
        <v/>
      </c>
      <c r="Q28" s="21">
        <f>IF(Q26&gt;0,Q27/Q26,"")</f>
        <v/>
      </c>
      <c r="R28" s="21">
        <f>IF(R26&gt;0,R27/R26,"")</f>
        <v/>
      </c>
      <c r="S28" s="21">
        <f>IF(S26&gt;0,S27/S26,"")</f>
        <v/>
      </c>
      <c r="T28" s="24">
        <f>IF(T26&gt;0,T27/T26,"")</f>
        <v/>
      </c>
      <c r="U28" s="24">
        <f>IF(U26&gt;0,U27/U26,"")</f>
        <v/>
      </c>
      <c r="V28" s="24">
        <f>IF(V26&gt;0,V27/V26,"")</f>
        <v/>
      </c>
      <c r="W28" s="24">
        <f>IF(W26&gt;0,W27/W26,"")</f>
        <v/>
      </c>
      <c r="X28" s="24">
        <f>IF(X26&gt;0,X27/X26,"")</f>
        <v/>
      </c>
      <c r="Y28" s="24">
        <f>IF(Y26&gt;0,Y27/Y26,"")</f>
        <v/>
      </c>
      <c r="Z28" s="24">
        <f>IF(Z26&gt;0,Z27/Z26,"")</f>
        <v/>
      </c>
    </row>
    <row r="29" ht="15.75" customHeight="1" s="58">
      <c r="A29" s="28" t="inlineStr">
        <is>
          <t>Est. Labor Hours</t>
        </is>
      </c>
      <c r="B29" s="30">
        <f>ROUND(B26/1000*Assumptions!$B$35,1)</f>
        <v/>
      </c>
      <c r="C29" s="30">
        <f>ROUND(C26/1000*Assumptions!$B$35,1)</f>
        <v/>
      </c>
      <c r="D29" s="30">
        <f>ROUND(D26/1000*Assumptions!$B$35,1)</f>
        <v/>
      </c>
      <c r="E29" s="30">
        <f>ROUND(E26/1000*Assumptions!$B$35,1)</f>
        <v/>
      </c>
      <c r="F29" s="30">
        <f>ROUND(F26/1000*Assumptions!$B$35,1)</f>
        <v/>
      </c>
      <c r="G29" s="30">
        <f>ROUND(G26/1000*Assumptions!$B$35,1)</f>
        <v/>
      </c>
      <c r="H29" s="30">
        <f>ROUND(H26/1000*Assumptions!$B$35,1)</f>
        <v/>
      </c>
      <c r="I29" s="30">
        <f>ROUND(I26/1000*Assumptions!$B$35,1)</f>
        <v/>
      </c>
      <c r="J29" s="30">
        <f>ROUND(J26/1000*Assumptions!$B$35,1)</f>
        <v/>
      </c>
      <c r="K29" s="30">
        <f>ROUND(K26/1000*Assumptions!$B$35,1)</f>
        <v/>
      </c>
      <c r="L29" s="30">
        <f>ROUND(L26/1000*Assumptions!$B$35,1)</f>
        <v/>
      </c>
      <c r="M29" s="30">
        <f>ROUND(M26/1000*Assumptions!$B$35,1)</f>
        <v/>
      </c>
      <c r="N29" s="30">
        <f>ROUND(N26/1000*Assumptions!$B$35,1)</f>
        <v/>
      </c>
      <c r="O29" s="30">
        <f>ROUND(O26/1000*Assumptions!$B$35,1)</f>
        <v/>
      </c>
      <c r="P29" s="30">
        <f>ROUND(P26/1000*Assumptions!$B$35,1)</f>
        <v/>
      </c>
      <c r="Q29" s="30">
        <f>ROUND(Q26/1000*Assumptions!$B$35,1)</f>
        <v/>
      </c>
      <c r="R29" s="30">
        <f>ROUND(R26/1000*Assumptions!$B$35,1)</f>
        <v/>
      </c>
      <c r="S29" s="30">
        <f>ROUND(S26/1000*Assumptions!$B$35,1)</f>
        <v/>
      </c>
      <c r="T29" s="31">
        <f>ROUND(T26/1000*Assumptions!$B$35,1)</f>
        <v/>
      </c>
      <c r="U29" s="31">
        <f>ROUND(U26/1000*Assumptions!$B$35,1)</f>
        <v/>
      </c>
      <c r="V29" s="31">
        <f>ROUND(V26/1000*Assumptions!$B$35,1)</f>
        <v/>
      </c>
      <c r="W29" s="31">
        <f>ROUND(W26/1000*Assumptions!$B$35,1)</f>
        <v/>
      </c>
      <c r="X29" s="31">
        <f>ROUND(X26/1000*Assumptions!$B$35,1)</f>
        <v/>
      </c>
      <c r="Y29" s="31">
        <f>ROUND(Y26/1000*Assumptions!$B$35,1)</f>
        <v/>
      </c>
      <c r="Z29" s="31">
        <f>ROUND(Z26/1000*Assumptions!$B$35,1)</f>
        <v/>
      </c>
    </row>
    <row r="30" ht="7.5" customHeight="1" s="58"/>
    <row r="31" ht="21.75" customHeight="1" s="58">
      <c r="A31" s="61" t="inlineStr">
        <is>
          <t>SUBCONTRACTOR FLOOR CHECK  —  Minimum Viable Job Price by Zone &amp; Sub Rate</t>
        </is>
      </c>
    </row>
    <row r="32" ht="21.75" customHeight="1" s="58">
      <c r="A32" s="67" t="inlineStr">
        <is>
          <t>Formula: (Travel Fee + Fixed Costs Per Job) ÷ (1 − Sub Rate % − Target Margin %)   Any job priced above the floor for its zone/sub rate hits your margin target.</t>
        </is>
      </c>
    </row>
    <row r="33" ht="18" customHeight="1" s="58">
      <c r="A33" s="41" t="inlineStr">
        <is>
          <t>Zone / Travel Fee</t>
        </is>
      </c>
      <c r="B33" s="41" t="inlineStr">
        <is>
          <t>40% Sub Rate</t>
        </is>
      </c>
      <c r="C33" s="41" t="inlineStr">
        <is>
          <t>45% Sub Rate</t>
        </is>
      </c>
      <c r="D33" s="41" t="inlineStr">
        <is>
          <t>50% Sub Rate</t>
        </is>
      </c>
    </row>
    <row r="34" ht="15.75" customHeight="1" s="58">
      <c r="A34" s="42" t="inlineStr">
        <is>
          <t>Zone 1 — $5 travel</t>
        </is>
      </c>
      <c r="B34" s="43">
        <f>(Assumptions!$B$17+Assumptions!$B$28)/(1-Assumptions!$B$10-Assumptions!$B$13)</f>
        <v/>
      </c>
      <c r="C34" s="43">
        <f>(Assumptions!$B$17+Assumptions!$B$28)/(1-Assumptions!$B$12-Assumptions!$B$13)</f>
        <v/>
      </c>
      <c r="D34" s="43">
        <f>(Assumptions!$B$17+Assumptions!$B$28)/(1-Assumptions!$B$11-Assumptions!$B$13)</f>
        <v/>
      </c>
      <c r="E34" s="63" t="inlineStr">
        <is>
          <t>← Any job priced above the number in its row hits your margin target. Larger jobs generate higher margins because fixed costs become a smaller % of revenue. See Margin table below.</t>
        </is>
      </c>
    </row>
    <row r="35" ht="15.75" customHeight="1" s="58">
      <c r="A35" s="42" t="inlineStr">
        <is>
          <t>Zone 2 — $8 travel</t>
        </is>
      </c>
      <c r="B35" s="43">
        <f>(Assumptions!$B$18+Assumptions!$B$28)/(1-Assumptions!$B$10-Assumptions!$B$13)</f>
        <v/>
      </c>
      <c r="C35" s="43">
        <f>(Assumptions!$B$18+Assumptions!$B$28)/(1-Assumptions!$B$12-Assumptions!$B$13)</f>
        <v/>
      </c>
      <c r="D35" s="43">
        <f>(Assumptions!$B$18+Assumptions!$B$28)/(1-Assumptions!$B$11-Assumptions!$B$13)</f>
        <v/>
      </c>
    </row>
    <row r="36" ht="15.75" customHeight="1" s="58">
      <c r="A36" s="42" t="inlineStr">
        <is>
          <t>Zone 3 — $10 travel</t>
        </is>
      </c>
      <c r="B36" s="43">
        <f>(Assumptions!$B$19+Assumptions!$B$28)/(1-Assumptions!$B$10-Assumptions!$B$13)</f>
        <v/>
      </c>
      <c r="C36" s="43">
        <f>(Assumptions!$B$19+Assumptions!$B$28)/(1-Assumptions!$B$12-Assumptions!$B$13)</f>
        <v/>
      </c>
      <c r="D36" s="43">
        <f>(Assumptions!$B$19+Assumptions!$B$28)/(1-Assumptions!$B$11-Assumptions!$B$13)</f>
        <v/>
      </c>
    </row>
    <row r="37" ht="15.75" customHeight="1" s="58">
      <c r="A37" s="42" t="inlineStr">
        <is>
          <t>Zone 4 — $12 travel</t>
        </is>
      </c>
      <c r="B37" s="43">
        <f>(Assumptions!$B$20+Assumptions!$B$28)/(1-Assumptions!$B$10-Assumptions!$B$13)</f>
        <v/>
      </c>
      <c r="C37" s="43">
        <f>(Assumptions!$B$20+Assumptions!$B$28)/(1-Assumptions!$B$12-Assumptions!$B$13)</f>
        <v/>
      </c>
      <c r="D37" s="43">
        <f>(Assumptions!$B$20+Assumptions!$B$28)/(1-Assumptions!$B$11-Assumptions!$B$13)</f>
        <v/>
      </c>
    </row>
    <row r="38" ht="15.75" customHeight="1" s="58">
      <c r="A38" s="42" t="inlineStr">
        <is>
          <t>Zone 5 — $15 travel</t>
        </is>
      </c>
      <c r="B38" s="43">
        <f>(Assumptions!$B$21+Assumptions!$B$28)/(1-Assumptions!$B$10-Assumptions!$B$13)</f>
        <v/>
      </c>
      <c r="C38" s="43">
        <f>(Assumptions!$B$21+Assumptions!$B$28)/(1-Assumptions!$B$12-Assumptions!$B$13)</f>
        <v/>
      </c>
      <c r="D38" s="43">
        <f>(Assumptions!$B$21+Assumptions!$B$28)/(1-Assumptions!$B$11-Assumptions!$B$13)</f>
        <v/>
      </c>
    </row>
    <row r="39" ht="7.5" customHeight="1" s="58"/>
    <row r="40" ht="21.75" customHeight="1" s="58">
      <c r="A40" s="68" t="inlineStr">
        <is>
          <t>EFFECTIVE MARGIN BY PRICE TIER  ·  At 45% sub rate, Zone 3 ($10 travel) — update in Assumptions</t>
        </is>
      </c>
    </row>
    <row r="41" ht="21.75" customHeight="1" s="58">
      <c r="A41" s="69" t="inlineStr">
        <is>
          <t>Formula: 1 − Sub Rate % − (Travel + Fixed Costs) ÷ Job Price   Margin improves as job price increases — fixed costs become a smaller % of larger jobs.</t>
        </is>
      </c>
    </row>
    <row r="42" ht="18" customHeight="1" s="58">
      <c r="A42" s="9" t="inlineStr">
        <is>
          <t>Sq Ft  →</t>
        </is>
      </c>
      <c r="B42" s="64" t="n">
        <v>750</v>
      </c>
      <c r="C42" s="64" t="n">
        <v>1000</v>
      </c>
      <c r="D42" s="64" t="n">
        <v>1250</v>
      </c>
      <c r="E42" s="64" t="n">
        <v>1500</v>
      </c>
      <c r="F42" s="64" t="n">
        <v>1800</v>
      </c>
      <c r="G42" s="64" t="n">
        <v>2100</v>
      </c>
      <c r="H42" s="64" t="n">
        <v>2400</v>
      </c>
      <c r="I42" s="64" t="n">
        <v>2700</v>
      </c>
      <c r="J42" s="64" t="n">
        <v>3000</v>
      </c>
      <c r="K42" s="64" t="n">
        <v>3300</v>
      </c>
      <c r="L42" s="64" t="n">
        <v>3600</v>
      </c>
      <c r="M42" s="64" t="n">
        <v>4000</v>
      </c>
      <c r="N42" s="64" t="n">
        <v>4400</v>
      </c>
      <c r="O42" s="64" t="n">
        <v>4800</v>
      </c>
      <c r="P42" s="64" t="n">
        <v>5200</v>
      </c>
      <c r="Q42" s="64" t="n">
        <v>5600</v>
      </c>
      <c r="R42" s="64" t="n">
        <v>6000</v>
      </c>
      <c r="S42" s="64" t="n">
        <v>6499</v>
      </c>
      <c r="T42" s="65" t="n">
        <v>6999</v>
      </c>
      <c r="U42" s="65" t="n">
        <v>7499</v>
      </c>
      <c r="V42" s="65" t="n">
        <v>7999</v>
      </c>
      <c r="W42" s="65" t="n">
        <v>8499</v>
      </c>
      <c r="X42" s="65" t="n">
        <v>8999</v>
      </c>
      <c r="Y42" s="65" t="n">
        <v>9499</v>
      </c>
      <c r="Z42" s="65" t="n">
        <v>9999</v>
      </c>
      <c r="AA42" s="65" t="n">
        <v>10000</v>
      </c>
    </row>
    <row r="43" ht="15.75" customHeight="1" s="58">
      <c r="A43" s="54" t="inlineStr">
        <is>
          <t>Deep Clean Margin %</t>
        </is>
      </c>
      <c r="B43" s="55">
        <f>IFERROR(1-Assumptions!$B$12-(Assumptions!$B$22+Assumptions!$B$28)/B5,"")</f>
        <v/>
      </c>
      <c r="C43" s="55">
        <f>IFERROR(1-Assumptions!$B$12-(Assumptions!$B$22+Assumptions!$B$28)/C5,"")</f>
        <v/>
      </c>
      <c r="D43" s="55">
        <f>IFERROR(1-Assumptions!$B$12-(Assumptions!$B$22+Assumptions!$B$28)/D5,"")</f>
        <v/>
      </c>
      <c r="E43" s="55">
        <f>IFERROR(1-Assumptions!$B$12-(Assumptions!$B$22+Assumptions!$B$28)/E5,"")</f>
        <v/>
      </c>
      <c r="F43" s="55">
        <f>IFERROR(1-Assumptions!$B$12-(Assumptions!$B$22+Assumptions!$B$28)/F5,"")</f>
        <v/>
      </c>
      <c r="G43" s="55">
        <f>IFERROR(1-Assumptions!$B$12-(Assumptions!$B$22+Assumptions!$B$28)/G5,"")</f>
        <v/>
      </c>
      <c r="H43" s="55">
        <f>IFERROR(1-Assumptions!$B$12-(Assumptions!$B$22+Assumptions!$B$28)/H5,"")</f>
        <v/>
      </c>
      <c r="I43" s="55">
        <f>IFERROR(1-Assumptions!$B$12-(Assumptions!$B$22+Assumptions!$B$28)/I5,"")</f>
        <v/>
      </c>
      <c r="J43" s="55">
        <f>IFERROR(1-Assumptions!$B$12-(Assumptions!$B$22+Assumptions!$B$28)/J5,"")</f>
        <v/>
      </c>
      <c r="K43" s="55">
        <f>IFERROR(1-Assumptions!$B$12-(Assumptions!$B$22+Assumptions!$B$28)/K5,"")</f>
        <v/>
      </c>
      <c r="L43" s="55">
        <f>IFERROR(1-Assumptions!$B$12-(Assumptions!$B$22+Assumptions!$B$28)/L5,"")</f>
        <v/>
      </c>
      <c r="M43" s="55">
        <f>IFERROR(1-Assumptions!$B$12-(Assumptions!$B$22+Assumptions!$B$28)/M5,"")</f>
        <v/>
      </c>
      <c r="N43" s="55">
        <f>IFERROR(1-Assumptions!$B$12-(Assumptions!$B$22+Assumptions!$B$28)/N5,"")</f>
        <v/>
      </c>
      <c r="O43" s="55">
        <f>IFERROR(1-Assumptions!$B$12-(Assumptions!$B$22+Assumptions!$B$28)/O5,"")</f>
        <v/>
      </c>
      <c r="P43" s="55">
        <f>IFERROR(1-Assumptions!$B$12-(Assumptions!$B$22+Assumptions!$B$28)/P5,"")</f>
        <v/>
      </c>
      <c r="Q43" s="55">
        <f>IFERROR(1-Assumptions!$B$12-(Assumptions!$B$22+Assumptions!$B$28)/Q5,"")</f>
        <v/>
      </c>
      <c r="R43" s="55">
        <f>IFERROR(1-Assumptions!$B$12-(Assumptions!$B$22+Assumptions!$B$28)/R5,"")</f>
        <v/>
      </c>
      <c r="S43" s="55">
        <f>IFERROR(1-Assumptions!$B$12-(Assumptions!$B$22+Assumptions!$B$28)/S5,"")</f>
        <v/>
      </c>
      <c r="T43" s="56">
        <f>IFERROR(1-Assumptions!$B$12-(Assumptions!$B$22+Assumptions!$B$28)/T5,"")</f>
        <v/>
      </c>
      <c r="U43" s="56">
        <f>IFERROR(1-Assumptions!$B$12-(Assumptions!$B$22+Assumptions!$B$28)/U5,"")</f>
        <v/>
      </c>
      <c r="V43" s="56">
        <f>IFERROR(1-Assumptions!$B$12-(Assumptions!$B$22+Assumptions!$B$28)/V5,"")</f>
        <v/>
      </c>
      <c r="W43" s="56">
        <f>IFERROR(1-Assumptions!$B$12-(Assumptions!$B$22+Assumptions!$B$28)/W5,"")</f>
        <v/>
      </c>
      <c r="X43" s="56">
        <f>IFERROR(1-Assumptions!$B$12-(Assumptions!$B$22+Assumptions!$B$28)/X5,"")</f>
        <v/>
      </c>
      <c r="Y43" s="56">
        <f>IFERROR(1-Assumptions!$B$12-(Assumptions!$B$22+Assumptions!$B$28)/Y5,"")</f>
        <v/>
      </c>
      <c r="Z43" s="56">
        <f>IFERROR(1-Assumptions!$B$12-(Assumptions!$B$22+Assumptions!$B$28)/Z5,"")</f>
        <v/>
      </c>
      <c r="AA43" s="56">
        <f>IFERROR(1-Assumptions!$B$12-(Assumptions!$B$22+Assumptions!$B$28)/AA5,"")</f>
        <v/>
      </c>
    </row>
    <row r="44" ht="15.75" customHeight="1" s="58">
      <c r="A44" s="54" t="inlineStr">
        <is>
          <t>Standard Clean Margin %</t>
        </is>
      </c>
      <c r="B44" s="55">
        <f>IFERROR(1-Assumptions!$B$12-(Assumptions!$B$22+Assumptions!$B$28)/B11,"")</f>
        <v/>
      </c>
      <c r="C44" s="55">
        <f>IFERROR(1-Assumptions!$B$12-(Assumptions!$B$22+Assumptions!$B$28)/C11,"")</f>
        <v/>
      </c>
      <c r="D44" s="55">
        <f>IFERROR(1-Assumptions!$B$12-(Assumptions!$B$22+Assumptions!$B$28)/D11,"")</f>
        <v/>
      </c>
      <c r="E44" s="55">
        <f>IFERROR(1-Assumptions!$B$12-(Assumptions!$B$22+Assumptions!$B$28)/E11,"")</f>
        <v/>
      </c>
      <c r="F44" s="55">
        <f>IFERROR(1-Assumptions!$B$12-(Assumptions!$B$22+Assumptions!$B$28)/F11,"")</f>
        <v/>
      </c>
      <c r="G44" s="55">
        <f>IFERROR(1-Assumptions!$B$12-(Assumptions!$B$22+Assumptions!$B$28)/G11,"")</f>
        <v/>
      </c>
      <c r="H44" s="55">
        <f>IFERROR(1-Assumptions!$B$12-(Assumptions!$B$22+Assumptions!$B$28)/H11,"")</f>
        <v/>
      </c>
      <c r="I44" s="55">
        <f>IFERROR(1-Assumptions!$B$12-(Assumptions!$B$22+Assumptions!$B$28)/I11,"")</f>
        <v/>
      </c>
      <c r="J44" s="55">
        <f>IFERROR(1-Assumptions!$B$12-(Assumptions!$B$22+Assumptions!$B$28)/J11,"")</f>
        <v/>
      </c>
      <c r="K44" s="55">
        <f>IFERROR(1-Assumptions!$B$12-(Assumptions!$B$22+Assumptions!$B$28)/K11,"")</f>
        <v/>
      </c>
      <c r="L44" s="55">
        <f>IFERROR(1-Assumptions!$B$12-(Assumptions!$B$22+Assumptions!$B$28)/L11,"")</f>
        <v/>
      </c>
      <c r="M44" s="55">
        <f>IFERROR(1-Assumptions!$B$12-(Assumptions!$B$22+Assumptions!$B$28)/M11,"")</f>
        <v/>
      </c>
      <c r="N44" s="55">
        <f>IFERROR(1-Assumptions!$B$12-(Assumptions!$B$22+Assumptions!$B$28)/N11,"")</f>
        <v/>
      </c>
      <c r="O44" s="55">
        <f>IFERROR(1-Assumptions!$B$12-(Assumptions!$B$22+Assumptions!$B$28)/O11,"")</f>
        <v/>
      </c>
      <c r="P44" s="55">
        <f>IFERROR(1-Assumptions!$B$12-(Assumptions!$B$22+Assumptions!$B$28)/P11,"")</f>
        <v/>
      </c>
      <c r="Q44" s="55">
        <f>IFERROR(1-Assumptions!$B$12-(Assumptions!$B$22+Assumptions!$B$28)/Q11,"")</f>
        <v/>
      </c>
      <c r="R44" s="55">
        <f>IFERROR(1-Assumptions!$B$12-(Assumptions!$B$22+Assumptions!$B$28)/R11,"")</f>
        <v/>
      </c>
      <c r="S44" s="55">
        <f>IFERROR(1-Assumptions!$B$12-(Assumptions!$B$22+Assumptions!$B$28)/S11,"")</f>
        <v/>
      </c>
      <c r="T44" s="56">
        <f>IFERROR(1-Assumptions!$B$12-(Assumptions!$B$22+Assumptions!$B$28)/T11,"")</f>
        <v/>
      </c>
      <c r="U44" s="56">
        <f>IFERROR(1-Assumptions!$B$12-(Assumptions!$B$22+Assumptions!$B$28)/U11,"")</f>
        <v/>
      </c>
      <c r="V44" s="56">
        <f>IFERROR(1-Assumptions!$B$12-(Assumptions!$B$22+Assumptions!$B$28)/V11,"")</f>
        <v/>
      </c>
      <c r="W44" s="56">
        <f>IFERROR(1-Assumptions!$B$12-(Assumptions!$B$22+Assumptions!$B$28)/W11,"")</f>
        <v/>
      </c>
      <c r="X44" s="56">
        <f>IFERROR(1-Assumptions!$B$12-(Assumptions!$B$22+Assumptions!$B$28)/X11,"")</f>
        <v/>
      </c>
      <c r="Y44" s="56">
        <f>IFERROR(1-Assumptions!$B$12-(Assumptions!$B$22+Assumptions!$B$28)/Y11,"")</f>
        <v/>
      </c>
      <c r="Z44" s="56">
        <f>IFERROR(1-Assumptions!$B$12-(Assumptions!$B$22+Assumptions!$B$28)/Z11,"")</f>
        <v/>
      </c>
      <c r="AA44" s="56">
        <f>IFERROR(1-Assumptions!$B$12-(Assumptions!$B$22+Assumptions!$B$28)/AA11,"")</f>
        <v/>
      </c>
    </row>
    <row r="45" ht="15.75" customHeight="1" s="58">
      <c r="A45" s="54" t="inlineStr">
        <is>
          <t>Weekly Clean Margin %</t>
        </is>
      </c>
      <c r="B45" s="55">
        <f>IFERROR(1-Assumptions!$B$12-(Assumptions!$B$22+Assumptions!$B$28)/B14,"")</f>
        <v/>
      </c>
      <c r="C45" s="55">
        <f>IFERROR(1-Assumptions!$B$12-(Assumptions!$B$22+Assumptions!$B$28)/C14,"")</f>
        <v/>
      </c>
      <c r="D45" s="55">
        <f>IFERROR(1-Assumptions!$B$12-(Assumptions!$B$22+Assumptions!$B$28)/D14,"")</f>
        <v/>
      </c>
      <c r="E45" s="55">
        <f>IFERROR(1-Assumptions!$B$12-(Assumptions!$B$22+Assumptions!$B$28)/E14,"")</f>
        <v/>
      </c>
      <c r="F45" s="55">
        <f>IFERROR(1-Assumptions!$B$12-(Assumptions!$B$22+Assumptions!$B$28)/F14,"")</f>
        <v/>
      </c>
      <c r="G45" s="55">
        <f>IFERROR(1-Assumptions!$B$12-(Assumptions!$B$22+Assumptions!$B$28)/G14,"")</f>
        <v/>
      </c>
      <c r="H45" s="55">
        <f>IFERROR(1-Assumptions!$B$12-(Assumptions!$B$22+Assumptions!$B$28)/H14,"")</f>
        <v/>
      </c>
      <c r="I45" s="55">
        <f>IFERROR(1-Assumptions!$B$12-(Assumptions!$B$22+Assumptions!$B$28)/I14,"")</f>
        <v/>
      </c>
      <c r="J45" s="55">
        <f>IFERROR(1-Assumptions!$B$12-(Assumptions!$B$22+Assumptions!$B$28)/J14,"")</f>
        <v/>
      </c>
      <c r="K45" s="55">
        <f>IFERROR(1-Assumptions!$B$12-(Assumptions!$B$22+Assumptions!$B$28)/K14,"")</f>
        <v/>
      </c>
      <c r="L45" s="55">
        <f>IFERROR(1-Assumptions!$B$12-(Assumptions!$B$22+Assumptions!$B$28)/L14,"")</f>
        <v/>
      </c>
      <c r="M45" s="55">
        <f>IFERROR(1-Assumptions!$B$12-(Assumptions!$B$22+Assumptions!$B$28)/M14,"")</f>
        <v/>
      </c>
      <c r="N45" s="55">
        <f>IFERROR(1-Assumptions!$B$12-(Assumptions!$B$22+Assumptions!$B$28)/N14,"")</f>
        <v/>
      </c>
      <c r="O45" s="55">
        <f>IFERROR(1-Assumptions!$B$12-(Assumptions!$B$22+Assumptions!$B$28)/O14,"")</f>
        <v/>
      </c>
      <c r="P45" s="55">
        <f>IFERROR(1-Assumptions!$B$12-(Assumptions!$B$22+Assumptions!$B$28)/P14,"")</f>
        <v/>
      </c>
      <c r="Q45" s="55">
        <f>IFERROR(1-Assumptions!$B$12-(Assumptions!$B$22+Assumptions!$B$28)/Q14,"")</f>
        <v/>
      </c>
      <c r="R45" s="55">
        <f>IFERROR(1-Assumptions!$B$12-(Assumptions!$B$22+Assumptions!$B$28)/R14,"")</f>
        <v/>
      </c>
      <c r="S45" s="55">
        <f>IFERROR(1-Assumptions!$B$12-(Assumptions!$B$22+Assumptions!$B$28)/S14,"")</f>
        <v/>
      </c>
      <c r="T45" s="56">
        <f>IFERROR(1-Assumptions!$B$12-(Assumptions!$B$22+Assumptions!$B$28)/T14,"")</f>
        <v/>
      </c>
      <c r="U45" s="56">
        <f>IFERROR(1-Assumptions!$B$12-(Assumptions!$B$22+Assumptions!$B$28)/U14,"")</f>
        <v/>
      </c>
      <c r="V45" s="56">
        <f>IFERROR(1-Assumptions!$B$12-(Assumptions!$B$22+Assumptions!$B$28)/V14,"")</f>
        <v/>
      </c>
      <c r="W45" s="56">
        <f>IFERROR(1-Assumptions!$B$12-(Assumptions!$B$22+Assumptions!$B$28)/W14,"")</f>
        <v/>
      </c>
      <c r="X45" s="56">
        <f>IFERROR(1-Assumptions!$B$12-(Assumptions!$B$22+Assumptions!$B$28)/X14,"")</f>
        <v/>
      </c>
      <c r="Y45" s="56">
        <f>IFERROR(1-Assumptions!$B$12-(Assumptions!$B$22+Assumptions!$B$28)/Y14,"")</f>
        <v/>
      </c>
      <c r="Z45" s="56">
        <f>IFERROR(1-Assumptions!$B$12-(Assumptions!$B$22+Assumptions!$B$28)/Z14,"")</f>
        <v/>
      </c>
      <c r="AA45" s="56">
        <f>IFERROR(1-Assumptions!$B$12-(Assumptions!$B$22+Assumptions!$B$28)/AA14,"")</f>
        <v/>
      </c>
    </row>
    <row r="46" ht="15.75" customHeight="1" s="58">
      <c r="A46" s="54" t="inlineStr">
        <is>
          <t>Construction Margin %</t>
        </is>
      </c>
      <c r="B46" s="55">
        <f>IFERROR(1-Assumptions!$B$12-(Assumptions!$B$22+Assumptions!$B$28)/B27,"")</f>
        <v/>
      </c>
      <c r="C46" s="55">
        <f>IFERROR(1-Assumptions!$B$12-(Assumptions!$B$22+Assumptions!$B$28)/C27,"")</f>
        <v/>
      </c>
      <c r="D46" s="55">
        <f>IFERROR(1-Assumptions!$B$12-(Assumptions!$B$22+Assumptions!$B$28)/D27,"")</f>
        <v/>
      </c>
      <c r="E46" s="55">
        <f>IFERROR(1-Assumptions!$B$12-(Assumptions!$B$22+Assumptions!$B$28)/E27,"")</f>
        <v/>
      </c>
      <c r="F46" s="55">
        <f>IFERROR(1-Assumptions!$B$12-(Assumptions!$B$22+Assumptions!$B$28)/F27,"")</f>
        <v/>
      </c>
      <c r="G46" s="55">
        <f>IFERROR(1-Assumptions!$B$12-(Assumptions!$B$22+Assumptions!$B$28)/G27,"")</f>
        <v/>
      </c>
      <c r="H46" s="55">
        <f>IFERROR(1-Assumptions!$B$12-(Assumptions!$B$22+Assumptions!$B$28)/H27,"")</f>
        <v/>
      </c>
      <c r="I46" s="55">
        <f>IFERROR(1-Assumptions!$B$12-(Assumptions!$B$22+Assumptions!$B$28)/I27,"")</f>
        <v/>
      </c>
      <c r="J46" s="55">
        <f>IFERROR(1-Assumptions!$B$12-(Assumptions!$B$22+Assumptions!$B$28)/J27,"")</f>
        <v/>
      </c>
      <c r="K46" s="55">
        <f>IFERROR(1-Assumptions!$B$12-(Assumptions!$B$22+Assumptions!$B$28)/K27,"")</f>
        <v/>
      </c>
      <c r="L46" s="55">
        <f>IFERROR(1-Assumptions!$B$12-(Assumptions!$B$22+Assumptions!$B$28)/L27,"")</f>
        <v/>
      </c>
      <c r="M46" s="55">
        <f>IFERROR(1-Assumptions!$B$12-(Assumptions!$B$22+Assumptions!$B$28)/M27,"")</f>
        <v/>
      </c>
      <c r="N46" s="55">
        <f>IFERROR(1-Assumptions!$B$12-(Assumptions!$B$22+Assumptions!$B$28)/N27,"")</f>
        <v/>
      </c>
      <c r="O46" s="55">
        <f>IFERROR(1-Assumptions!$B$12-(Assumptions!$B$22+Assumptions!$B$28)/O27,"")</f>
        <v/>
      </c>
      <c r="P46" s="55">
        <f>IFERROR(1-Assumptions!$B$12-(Assumptions!$B$22+Assumptions!$B$28)/P27,"")</f>
        <v/>
      </c>
      <c r="Q46" s="55">
        <f>IFERROR(1-Assumptions!$B$12-(Assumptions!$B$22+Assumptions!$B$28)/Q27,"")</f>
        <v/>
      </c>
      <c r="R46" s="55">
        <f>IFERROR(1-Assumptions!$B$12-(Assumptions!$B$22+Assumptions!$B$28)/R27,"")</f>
        <v/>
      </c>
      <c r="S46" s="55">
        <f>IFERROR(1-Assumptions!$B$12-(Assumptions!$B$22+Assumptions!$B$28)/S27,"")</f>
        <v/>
      </c>
      <c r="T46" s="56">
        <f>IFERROR(1-Assumptions!$B$12-(Assumptions!$B$22+Assumptions!$B$28)/T27,"")</f>
        <v/>
      </c>
      <c r="U46" s="56">
        <f>IFERROR(1-Assumptions!$B$12-(Assumptions!$B$22+Assumptions!$B$28)/U27,"")</f>
        <v/>
      </c>
      <c r="V46" s="56">
        <f>IFERROR(1-Assumptions!$B$12-(Assumptions!$B$22+Assumptions!$B$28)/V27,"")</f>
        <v/>
      </c>
      <c r="W46" s="56">
        <f>IFERROR(1-Assumptions!$B$12-(Assumptions!$B$22+Assumptions!$B$28)/W27,"")</f>
        <v/>
      </c>
      <c r="X46" s="56">
        <f>IFERROR(1-Assumptions!$B$12-(Assumptions!$B$22+Assumptions!$B$28)/X27,"")</f>
        <v/>
      </c>
      <c r="Y46" s="56">
        <f>IFERROR(1-Assumptions!$B$12-(Assumptions!$B$22+Assumptions!$B$28)/Y27,"")</f>
        <v/>
      </c>
      <c r="Z46" s="56">
        <f>IFERROR(1-Assumptions!$B$12-(Assumptions!$B$22+Assumptions!$B$28)/Z27,"")</f>
        <v/>
      </c>
    </row>
    <row r="47" ht="7.5" customHeight="1" s="58"/>
    <row r="48" ht="21.75" customHeight="1" s="58">
      <c r="A48" s="60" t="inlineStr">
        <is>
          <t>MINIMUM PRICES</t>
        </is>
      </c>
    </row>
    <row r="49" ht="15" customHeight="1" s="58">
      <c r="A49" s="7" t="inlineStr">
        <is>
          <t>Deep Clean</t>
        </is>
      </c>
      <c r="B49" s="32" t="n">
        <v>200</v>
      </c>
      <c r="C49" s="57" t="inlineStr">
        <is>
          <t>Included: inside oven + inside fridge</t>
        </is>
      </c>
    </row>
    <row r="50" ht="15" customHeight="1" s="58">
      <c r="A50" s="7" t="inlineStr">
        <is>
          <t>Standard Clean</t>
        </is>
      </c>
      <c r="B50" s="32" t="n">
        <v>200</v>
      </c>
    </row>
    <row r="51" ht="15" customHeight="1" s="58">
      <c r="A51" s="7" t="inlineStr">
        <is>
          <t>Weekly Recurring</t>
        </is>
      </c>
      <c r="B51" s="32" t="n">
        <v>150</v>
      </c>
    </row>
    <row r="52" ht="15" customHeight="1" s="58">
      <c r="A52" s="7" t="inlineStr">
        <is>
          <t>Move In / Out</t>
        </is>
      </c>
      <c r="B52" s="32" t="n">
        <v>350</v>
      </c>
      <c r="C52" s="57" t="inlineStr">
        <is>
          <t>Included: inside oven + inside fridge</t>
        </is>
      </c>
    </row>
    <row r="53" ht="15" customHeight="1" s="58">
      <c r="A53" s="7" t="inlineStr">
        <is>
          <t>Post-Construction</t>
        </is>
      </c>
      <c r="B53" s="32" t="n">
        <v>450</v>
      </c>
    </row>
    <row r="54" ht="7.5" customHeight="1" s="58"/>
    <row r="55" ht="21.75" customHeight="1" s="58">
      <c r="A55" s="60" t="inlineStr">
        <is>
          <t>ADD-ON EXTRAS  (Not limited to)</t>
        </is>
      </c>
    </row>
    <row r="56" ht="15" customHeight="1" s="58">
      <c r="A56" s="7" t="inlineStr">
        <is>
          <t>Inside Oven</t>
        </is>
      </c>
      <c r="B56" s="32" t="n">
        <v>50</v>
      </c>
      <c r="C56" s="57" t="inlineStr">
        <is>
          <t>Included in deep clean &amp; move in/out</t>
        </is>
      </c>
    </row>
    <row r="57" ht="15" customHeight="1" s="58">
      <c r="A57" s="7" t="inlineStr">
        <is>
          <t>Extra Pet Hair / Shedding</t>
        </is>
      </c>
      <c r="B57" s="32" t="n">
        <v>100</v>
      </c>
    </row>
    <row r="58" ht="15" customHeight="1" s="58">
      <c r="A58" s="7" t="inlineStr">
        <is>
          <t>Wet Wipe Window Blinds</t>
        </is>
      </c>
      <c r="B58" s="32" t="n">
        <v>20</v>
      </c>
      <c r="C58" s="57" t="inlineStr">
        <is>
          <t>BK live value $20</t>
        </is>
      </c>
    </row>
    <row r="59" ht="15" customHeight="1" s="58">
      <c r="A59" s="7" t="inlineStr">
        <is>
          <t>Clean Inside Refrigerator</t>
        </is>
      </c>
      <c r="B59" s="32" t="n">
        <v>42.5</v>
      </c>
      <c r="C59" s="57" t="inlineStr">
        <is>
          <t>Included in move in/out · BK live value $42.50</t>
        </is>
      </c>
    </row>
    <row r="60" ht="15" customHeight="1" s="58">
      <c r="A60" s="7" t="inlineStr">
        <is>
          <t>Inside Dishwasher</t>
        </is>
      </c>
      <c r="B60" s="32" t="n">
        <v>35</v>
      </c>
      <c r="C60" s="0" t="inlineStr">
        <is>
          <t>BK live value $35</t>
        </is>
      </c>
    </row>
    <row r="61" ht="15.75" customHeight="1" s="58"/>
    <row r="62" ht="15.75" customHeight="1" s="58"/>
    <row r="63" ht="15.75" customHeight="1" s="58"/>
    <row r="64" ht="15.75" customHeight="1" s="58"/>
    <row r="65" ht="15.75" customHeight="1" s="58"/>
    <row r="66" ht="15.75" customHeight="1" s="58"/>
    <row r="67" ht="15.75" customHeight="1" s="58"/>
    <row r="68" ht="15.75" customHeight="1" s="58"/>
    <row r="69" ht="15.75" customHeight="1" s="58"/>
    <row r="70" ht="15.75" customHeight="1" s="58"/>
    <row r="71" ht="15.75" customHeight="1" s="58"/>
    <row r="72" ht="15.75" customHeight="1" s="58"/>
    <row r="73" ht="15.75" customHeight="1" s="58"/>
    <row r="74" ht="15.75" customHeight="1" s="58"/>
    <row r="75" ht="15.75" customHeight="1" s="58"/>
    <row r="76" ht="15.75" customHeight="1" s="58"/>
    <row r="77" ht="15.75" customHeight="1" s="58"/>
    <row r="78" ht="15.75" customHeight="1" s="58"/>
    <row r="79" ht="15.75" customHeight="1" s="58"/>
    <row r="80" ht="15.75" customHeight="1" s="58"/>
    <row r="81" ht="15.75" customHeight="1" s="58"/>
    <row r="82" ht="15.75" customHeight="1" s="58"/>
    <row r="83" ht="15.75" customHeight="1" s="58"/>
    <row r="84" ht="15.75" customHeight="1" s="58"/>
    <row r="85" ht="15.75" customHeight="1" s="58"/>
    <row r="86" ht="15.75" customHeight="1" s="58"/>
    <row r="87" ht="15.75" customHeight="1" s="58"/>
    <row r="88" ht="15.75" customHeight="1" s="58"/>
    <row r="89" ht="15.75" customHeight="1" s="58"/>
    <row r="90" ht="15.75" customHeight="1" s="58"/>
    <row r="91" ht="15.75" customHeight="1" s="58"/>
    <row r="92" ht="15.75" customHeight="1" s="58"/>
    <row r="93" ht="15.75" customHeight="1" s="58"/>
    <row r="94" ht="15.75" customHeight="1" s="58"/>
    <row r="95" ht="15.75" customHeight="1" s="58"/>
    <row r="96" ht="15.75" customHeight="1" s="58"/>
    <row r="97" ht="15.75" customHeight="1" s="58"/>
    <row r="98" ht="15.75" customHeight="1" s="58"/>
    <row r="99" ht="15.75" customHeight="1" s="58"/>
    <row r="100" ht="15.75" customHeight="1" s="58"/>
    <row r="101" ht="15.75" customHeight="1" s="58"/>
    <row r="102" ht="15.75" customHeight="1" s="58"/>
    <row r="103" ht="15.75" customHeight="1" s="58"/>
    <row r="104" ht="15.75" customHeight="1" s="58"/>
    <row r="105" ht="15.75" customHeight="1" s="58"/>
    <row r="106" ht="15.75" customHeight="1" s="58"/>
    <row r="107" ht="15.75" customHeight="1" s="58"/>
    <row r="108" ht="15.75" customHeight="1" s="58"/>
    <row r="109" ht="15.75" customHeight="1" s="58"/>
    <row r="110" ht="15.75" customHeight="1" s="58"/>
    <row r="111" ht="15.75" customHeight="1" s="58"/>
    <row r="112" ht="15.75" customHeight="1" s="58"/>
    <row r="113" ht="15.75" customHeight="1" s="58"/>
    <row r="114" ht="15.75" customHeight="1" s="58"/>
    <row r="115" ht="15.75" customHeight="1" s="58"/>
    <row r="116" ht="15.75" customHeight="1" s="58"/>
    <row r="117" ht="15.75" customHeight="1" s="58"/>
    <row r="118" ht="15.75" customHeight="1" s="58"/>
    <row r="119" ht="15.75" customHeight="1" s="58"/>
    <row r="120" ht="15.75" customHeight="1" s="58"/>
    <row r="121" ht="15.75" customHeight="1" s="58"/>
    <row r="122" ht="15.75" customHeight="1" s="58"/>
    <row r="123" ht="15.75" customHeight="1" s="58"/>
    <row r="124" ht="15.75" customHeight="1" s="58"/>
    <row r="125" ht="15.75" customHeight="1" s="58"/>
    <row r="126" ht="15.75" customHeight="1" s="58"/>
    <row r="127" ht="15.75" customHeight="1" s="58"/>
    <row r="128" ht="15.75" customHeight="1" s="58"/>
    <row r="129" ht="15.75" customHeight="1" s="58"/>
    <row r="130" ht="15.75" customHeight="1" s="58"/>
    <row r="131" ht="15.75" customHeight="1" s="58"/>
    <row r="132" ht="15.75" customHeight="1" s="58"/>
    <row r="133" ht="15.75" customHeight="1" s="58"/>
    <row r="134" ht="15.75" customHeight="1" s="58"/>
    <row r="135" ht="15.75" customHeight="1" s="58"/>
    <row r="136" ht="15.75" customHeight="1" s="58"/>
    <row r="137" ht="15.75" customHeight="1" s="58"/>
    <row r="138" ht="15.75" customHeight="1" s="58"/>
    <row r="139" ht="15.75" customHeight="1" s="58"/>
    <row r="140" ht="15.75" customHeight="1" s="58"/>
    <row r="141" ht="15.75" customHeight="1" s="58"/>
    <row r="142" ht="15.75" customHeight="1" s="58"/>
    <row r="143" ht="15.75" customHeight="1" s="58"/>
    <row r="144" ht="15.75" customHeight="1" s="58"/>
    <row r="145" ht="15.75" customHeight="1" s="58"/>
    <row r="146" ht="15.75" customHeight="1" s="58"/>
    <row r="147" ht="15.75" customHeight="1" s="58"/>
    <row r="148" ht="15.75" customHeight="1" s="58"/>
    <row r="149" ht="15.75" customHeight="1" s="58"/>
    <row r="150" ht="15.75" customHeight="1" s="58"/>
    <row r="151" ht="15.75" customHeight="1" s="58"/>
    <row r="152" ht="15.75" customHeight="1" s="58"/>
    <row r="153" ht="15.75" customHeight="1" s="58"/>
    <row r="154" ht="15.75" customHeight="1" s="58"/>
    <row r="155" ht="15.75" customHeight="1" s="58"/>
    <row r="156" ht="15.75" customHeight="1" s="58"/>
    <row r="157" ht="15.75" customHeight="1" s="58"/>
    <row r="158" ht="15.75" customHeight="1" s="58"/>
    <row r="159" ht="15.75" customHeight="1" s="58"/>
    <row r="160" ht="15.75" customHeight="1" s="58"/>
    <row r="161" ht="15.75" customHeight="1" s="58"/>
    <row r="162" ht="15.75" customHeight="1" s="58"/>
    <row r="163" ht="15.75" customHeight="1" s="58"/>
    <row r="164" ht="15.75" customHeight="1" s="58"/>
    <row r="165" ht="15.75" customHeight="1" s="58"/>
    <row r="166" ht="15.75" customHeight="1" s="58"/>
    <row r="167" ht="15.75" customHeight="1" s="58"/>
    <row r="168" ht="15.75" customHeight="1" s="58"/>
    <row r="169" ht="15.75" customHeight="1" s="58"/>
    <row r="170" ht="15.75" customHeight="1" s="58"/>
    <row r="171" ht="15.75" customHeight="1" s="58"/>
    <row r="172" ht="15.75" customHeight="1" s="58"/>
    <row r="173" ht="15.75" customHeight="1" s="58"/>
    <row r="174" ht="15.75" customHeight="1" s="58"/>
    <row r="175" ht="15.75" customHeight="1" s="58"/>
    <row r="176" ht="15.75" customHeight="1" s="58"/>
    <row r="177" ht="15.75" customHeight="1" s="58"/>
    <row r="178" ht="15.75" customHeight="1" s="58"/>
    <row r="179" ht="15.75" customHeight="1" s="58"/>
    <row r="180" ht="15.75" customHeight="1" s="58"/>
    <row r="181" ht="15.75" customHeight="1" s="58"/>
    <row r="182" ht="15.75" customHeight="1" s="58"/>
    <row r="183" ht="15.75" customHeight="1" s="58"/>
    <row r="184" ht="15.75" customHeight="1" s="58"/>
    <row r="185" ht="15.75" customHeight="1" s="58"/>
    <row r="186" ht="15.75" customHeight="1" s="58"/>
    <row r="187" ht="15.75" customHeight="1" s="58"/>
    <row r="188" ht="15.75" customHeight="1" s="58"/>
    <row r="189" ht="15.75" customHeight="1" s="58"/>
    <row r="190" ht="15.75" customHeight="1" s="58"/>
    <row r="191" ht="15.75" customHeight="1" s="58"/>
    <row r="192" ht="15.75" customHeight="1" s="58"/>
    <row r="193" ht="15.75" customHeight="1" s="58"/>
    <row r="194" ht="15.75" customHeight="1" s="58"/>
    <row r="195" ht="15.75" customHeight="1" s="58"/>
    <row r="196" ht="15.75" customHeight="1" s="58"/>
    <row r="197" ht="15.75" customHeight="1" s="58"/>
    <row r="198" ht="15.75" customHeight="1" s="58"/>
    <row r="199" ht="15.75" customHeight="1" s="58"/>
    <row r="200" ht="15.75" customHeight="1" s="58"/>
    <row r="201" ht="15.75" customHeight="1" s="58"/>
    <row r="202" ht="15.75" customHeight="1" s="58"/>
    <row r="203" ht="15.75" customHeight="1" s="58"/>
    <row r="204" ht="15.75" customHeight="1" s="58"/>
    <row r="205" ht="15.75" customHeight="1" s="58"/>
    <row r="206" ht="15.75" customHeight="1" s="58"/>
    <row r="207" ht="15.75" customHeight="1" s="58"/>
    <row r="208" ht="15.75" customHeight="1" s="58"/>
    <row r="209" ht="15.75" customHeight="1" s="58"/>
    <row r="210" ht="15.75" customHeight="1" s="58"/>
    <row r="211" ht="15.75" customHeight="1" s="58"/>
    <row r="212" ht="15.75" customHeight="1" s="58"/>
    <row r="213" ht="15.75" customHeight="1" s="58"/>
    <row r="214" ht="15.75" customHeight="1" s="58"/>
    <row r="215" ht="15.75" customHeight="1" s="58"/>
    <row r="216" ht="15.75" customHeight="1" s="58"/>
    <row r="217" ht="15.75" customHeight="1" s="58"/>
    <row r="218" ht="15.75" customHeight="1" s="58"/>
    <row r="219" ht="15.75" customHeight="1" s="58"/>
    <row r="220" ht="15.75" customHeight="1" s="58"/>
    <row r="221" ht="15.75" customHeight="1" s="58"/>
    <row r="222" ht="15.75" customHeight="1" s="58"/>
    <row r="223" ht="15.75" customHeight="1" s="58"/>
    <row r="224" ht="15.75" customHeight="1" s="58"/>
    <row r="225" ht="15.75" customHeight="1" s="58"/>
    <row r="226" ht="15.75" customHeight="1" s="58"/>
    <row r="227" ht="15.75" customHeight="1" s="58"/>
    <row r="228" ht="15.75" customHeight="1" s="58"/>
    <row r="229" ht="15.75" customHeight="1" s="58"/>
    <row r="230" ht="15.75" customHeight="1" s="58"/>
    <row r="231" ht="15.75" customHeight="1" s="58"/>
    <row r="232" ht="15.75" customHeight="1" s="58"/>
    <row r="233" ht="15.75" customHeight="1" s="58"/>
    <row r="234" ht="15.75" customHeight="1" s="58"/>
    <row r="235" ht="15.75" customHeight="1" s="58"/>
    <row r="236" ht="15.75" customHeight="1" s="58"/>
    <row r="237" ht="15.75" customHeight="1" s="58"/>
    <row r="238" ht="15.75" customHeight="1" s="58"/>
    <row r="239" ht="15.75" customHeight="1" s="58"/>
    <row r="240" ht="15.75" customHeight="1" s="58"/>
    <row r="241" ht="15.75" customHeight="1" s="58"/>
    <row r="242" ht="15.75" customHeight="1" s="58"/>
    <row r="243" ht="15.75" customHeight="1" s="58"/>
    <row r="244" ht="15.75" customHeight="1" s="58"/>
    <row r="245" ht="15.75" customHeight="1" s="58"/>
    <row r="246" ht="15.75" customHeight="1" s="58"/>
    <row r="247" ht="15.75" customHeight="1" s="58"/>
    <row r="248" ht="15.75" customHeight="1" s="58"/>
    <row r="249" ht="15.75" customHeight="1" s="58"/>
    <row r="250" ht="15.75" customHeight="1" s="58"/>
    <row r="251" ht="15.75" customHeight="1" s="58"/>
    <row r="252" ht="15.75" customHeight="1" s="58"/>
    <row r="253" ht="15.75" customHeight="1" s="58"/>
    <row r="254" ht="15.75" customHeight="1" s="58"/>
    <row r="255" ht="15.75" customHeight="1" s="58"/>
    <row r="256" ht="15.75" customHeight="1" s="58"/>
    <row r="257" ht="15.75" customHeight="1" s="58"/>
    <row r="258" ht="15.75" customHeight="1" s="58"/>
    <row r="259" ht="15.75" customHeight="1" s="58"/>
    <row r="260" ht="15.75" customHeight="1" s="58"/>
    <row r="261" ht="15.75" customHeight="1" s="58"/>
    <row r="262" ht="15.75" customHeight="1" s="58"/>
    <row r="263" ht="15.75" customHeight="1" s="58"/>
    <row r="264" ht="15.75" customHeight="1" s="58"/>
    <row r="265" ht="15.75" customHeight="1" s="58"/>
    <row r="266" ht="15.75" customHeight="1" s="58"/>
    <row r="267" ht="15.75" customHeight="1" s="58"/>
    <row r="268" ht="15.75" customHeight="1" s="58"/>
    <row r="269" ht="15.75" customHeight="1" s="58"/>
    <row r="270" ht="15.75" customHeight="1" s="58"/>
    <row r="271" ht="15.75" customHeight="1" s="58"/>
    <row r="272" ht="15.75" customHeight="1" s="58"/>
    <row r="273" ht="15.75" customHeight="1" s="58"/>
    <row r="274" ht="15.75" customHeight="1" s="58"/>
    <row r="275" ht="15.75" customHeight="1" s="58"/>
    <row r="276" ht="15.75" customHeight="1" s="58"/>
    <row r="277" ht="15.75" customHeight="1" s="58"/>
    <row r="278" ht="15.75" customHeight="1" s="58"/>
    <row r="279" ht="15.75" customHeight="1" s="58"/>
    <row r="280" ht="15.75" customHeight="1" s="58"/>
    <row r="281" ht="15.75" customHeight="1" s="58"/>
    <row r="282" ht="15.75" customHeight="1" s="58"/>
    <row r="283" ht="15.75" customHeight="1" s="58"/>
    <row r="284" ht="15.75" customHeight="1" s="58"/>
    <row r="285" ht="15.75" customHeight="1" s="58"/>
    <row r="286" ht="15.75" customHeight="1" s="58"/>
    <row r="287" ht="15.75" customHeight="1" s="58"/>
    <row r="288" ht="15.75" customHeight="1" s="58"/>
    <row r="289" ht="15.75" customHeight="1" s="58"/>
    <row r="290" ht="15.75" customHeight="1" s="58"/>
    <row r="291" ht="15.75" customHeight="1" s="58"/>
    <row r="292" ht="15.75" customHeight="1" s="58"/>
    <row r="293" ht="15.75" customHeight="1" s="58"/>
    <row r="294" ht="15.75" customHeight="1" s="58"/>
    <row r="295" ht="15.75" customHeight="1" s="58"/>
    <row r="296" ht="15.75" customHeight="1" s="58"/>
    <row r="297" ht="15.75" customHeight="1" s="58"/>
    <row r="298" ht="15.75" customHeight="1" s="58"/>
    <row r="299" ht="15.75" customHeight="1" s="58"/>
    <row r="300" ht="15.75" customHeight="1" s="58"/>
    <row r="301" ht="15.75" customHeight="1" s="58"/>
    <row r="302" ht="15.75" customHeight="1" s="58"/>
    <row r="303" ht="15.75" customHeight="1" s="58"/>
    <row r="304" ht="15.75" customHeight="1" s="58"/>
    <row r="305" ht="15.75" customHeight="1" s="58"/>
    <row r="306" ht="15.75" customHeight="1" s="58"/>
    <row r="307" ht="15.75" customHeight="1" s="58"/>
    <row r="308" ht="15.75" customHeight="1" s="58"/>
    <row r="309" ht="15.75" customHeight="1" s="58"/>
    <row r="310" ht="15.75" customHeight="1" s="58"/>
    <row r="311" ht="15.75" customHeight="1" s="58"/>
    <row r="312" ht="15.75" customHeight="1" s="58"/>
    <row r="313" ht="15.75" customHeight="1" s="58"/>
    <row r="314" ht="15.75" customHeight="1" s="58"/>
    <row r="315" ht="15.75" customHeight="1" s="58"/>
    <row r="316" ht="15.75" customHeight="1" s="58"/>
    <row r="317" ht="15.75" customHeight="1" s="58"/>
    <row r="318" ht="15.75" customHeight="1" s="58"/>
    <row r="319" ht="15.75" customHeight="1" s="58"/>
    <row r="320" ht="15.75" customHeight="1" s="58"/>
    <row r="321" ht="15.75" customHeight="1" s="58"/>
    <row r="322" ht="15.75" customHeight="1" s="58"/>
    <row r="323" ht="15.75" customHeight="1" s="58"/>
    <row r="324" ht="15.75" customHeight="1" s="58"/>
    <row r="325" ht="15.75" customHeight="1" s="58"/>
    <row r="326" ht="15.75" customHeight="1" s="58"/>
    <row r="327" ht="15.75" customHeight="1" s="58"/>
    <row r="328" ht="15.75" customHeight="1" s="58"/>
    <row r="329" ht="15.75" customHeight="1" s="58"/>
    <row r="330" ht="15.75" customHeight="1" s="58"/>
    <row r="331" ht="15.75" customHeight="1" s="58"/>
    <row r="332" ht="15.75" customHeight="1" s="58"/>
    <row r="333" ht="15.75" customHeight="1" s="58"/>
    <row r="334" ht="15.75" customHeight="1" s="58"/>
    <row r="335" ht="15.75" customHeight="1" s="58"/>
    <row r="336" ht="15.75" customHeight="1" s="58"/>
    <row r="337" ht="15.75" customHeight="1" s="58"/>
    <row r="338" ht="15.75" customHeight="1" s="58"/>
    <row r="339" ht="15.75" customHeight="1" s="58"/>
    <row r="340" ht="15.75" customHeight="1" s="58"/>
    <row r="341" ht="15.75" customHeight="1" s="58"/>
    <row r="342" ht="15.75" customHeight="1" s="58"/>
    <row r="343" ht="15.75" customHeight="1" s="58"/>
    <row r="344" ht="15.75" customHeight="1" s="58"/>
    <row r="345" ht="15.75" customHeight="1" s="58"/>
    <row r="346" ht="15.75" customHeight="1" s="58"/>
    <row r="347" ht="15.75" customHeight="1" s="58"/>
    <row r="348" ht="15.75" customHeight="1" s="58"/>
    <row r="349" ht="15.75" customHeight="1" s="58"/>
    <row r="350" ht="15.75" customHeight="1" s="58"/>
    <row r="351" ht="15.75" customHeight="1" s="58"/>
    <row r="352" ht="15.75" customHeight="1" s="58"/>
    <row r="353" ht="15.75" customHeight="1" s="58"/>
    <row r="354" ht="15.75" customHeight="1" s="58"/>
    <row r="355" ht="15.75" customHeight="1" s="58"/>
    <row r="356" ht="15.75" customHeight="1" s="58"/>
    <row r="357" ht="15.75" customHeight="1" s="58"/>
    <row r="358" ht="15.75" customHeight="1" s="58"/>
    <row r="359" ht="15.75" customHeight="1" s="58"/>
    <row r="360" ht="15.75" customHeight="1" s="58"/>
    <row r="361" ht="15.75" customHeight="1" s="58"/>
    <row r="362" ht="15.75" customHeight="1" s="58"/>
    <row r="363" ht="15.75" customHeight="1" s="58"/>
    <row r="364" ht="15.75" customHeight="1" s="58"/>
    <row r="365" ht="15.75" customHeight="1" s="58"/>
    <row r="366" ht="15.75" customHeight="1" s="58"/>
    <row r="367" ht="15.75" customHeight="1" s="58"/>
    <row r="368" ht="15.75" customHeight="1" s="58"/>
    <row r="369" ht="15.75" customHeight="1" s="58"/>
    <row r="370" ht="15.75" customHeight="1" s="58"/>
    <row r="371" ht="15.75" customHeight="1" s="58"/>
    <row r="372" ht="15.75" customHeight="1" s="58"/>
    <row r="373" ht="15.75" customHeight="1" s="58"/>
    <row r="374" ht="15.75" customHeight="1" s="58"/>
    <row r="375" ht="15.75" customHeight="1" s="58"/>
    <row r="376" ht="15.75" customHeight="1" s="58"/>
    <row r="377" ht="15.75" customHeight="1" s="58"/>
    <row r="378" ht="15.75" customHeight="1" s="58"/>
    <row r="379" ht="15.75" customHeight="1" s="58"/>
    <row r="380" ht="15.75" customHeight="1" s="58"/>
    <row r="381" ht="15.75" customHeight="1" s="58"/>
    <row r="382" ht="15.75" customHeight="1" s="58"/>
    <row r="383" ht="15.75" customHeight="1" s="58"/>
    <row r="384" ht="15.75" customHeight="1" s="58"/>
    <row r="385" ht="15.75" customHeight="1" s="58"/>
    <row r="386" ht="15.75" customHeight="1" s="58"/>
    <row r="387" ht="15.75" customHeight="1" s="58"/>
    <row r="388" ht="15.75" customHeight="1" s="58"/>
    <row r="389" ht="15.75" customHeight="1" s="58"/>
    <row r="390" ht="15.75" customHeight="1" s="58"/>
    <row r="391" ht="15.75" customHeight="1" s="58"/>
    <row r="392" ht="15.75" customHeight="1" s="58"/>
    <row r="393" ht="15.75" customHeight="1" s="58"/>
    <row r="394" ht="15.75" customHeight="1" s="58"/>
    <row r="395" ht="15.75" customHeight="1" s="58"/>
    <row r="396" ht="15.75" customHeight="1" s="58"/>
    <row r="397" ht="15.75" customHeight="1" s="58"/>
    <row r="398" ht="15.75" customHeight="1" s="58"/>
    <row r="399" ht="15.75" customHeight="1" s="58"/>
    <row r="400" ht="15.75" customHeight="1" s="58"/>
    <row r="401" ht="15.75" customHeight="1" s="58"/>
    <row r="402" ht="15.75" customHeight="1" s="58"/>
    <row r="403" ht="15.75" customHeight="1" s="58"/>
    <row r="404" ht="15.75" customHeight="1" s="58"/>
    <row r="405" ht="15.75" customHeight="1" s="58"/>
    <row r="406" ht="15.75" customHeight="1" s="58"/>
    <row r="407" ht="15.75" customHeight="1" s="58"/>
    <row r="408" ht="15.75" customHeight="1" s="58"/>
    <row r="409" ht="15.75" customHeight="1" s="58"/>
    <row r="410" ht="15.75" customHeight="1" s="58"/>
    <row r="411" ht="15.75" customHeight="1" s="58"/>
    <row r="412" ht="15.75" customHeight="1" s="58"/>
    <row r="413" ht="15.75" customHeight="1" s="58"/>
    <row r="414" ht="15.75" customHeight="1" s="58"/>
    <row r="415" ht="15.75" customHeight="1" s="58"/>
    <row r="416" ht="15.75" customHeight="1" s="58"/>
    <row r="417" ht="15.75" customHeight="1" s="58"/>
    <row r="418" ht="15.75" customHeight="1" s="58"/>
    <row r="419" ht="15.75" customHeight="1" s="58"/>
    <row r="420" ht="15.75" customHeight="1" s="58"/>
    <row r="421" ht="15.75" customHeight="1" s="58"/>
    <row r="422" ht="15.75" customHeight="1" s="58"/>
    <row r="423" ht="15.75" customHeight="1" s="58"/>
    <row r="424" ht="15.75" customHeight="1" s="58"/>
    <row r="425" ht="15.75" customHeight="1" s="58"/>
    <row r="426" ht="15.75" customHeight="1" s="58"/>
    <row r="427" ht="15.75" customHeight="1" s="58"/>
    <row r="428" ht="15.75" customHeight="1" s="58"/>
    <row r="429" ht="15.75" customHeight="1" s="58"/>
    <row r="430" ht="15.75" customHeight="1" s="58"/>
    <row r="431" ht="15.75" customHeight="1" s="58"/>
    <row r="432" ht="15.75" customHeight="1" s="58"/>
    <row r="433" ht="15.75" customHeight="1" s="58"/>
    <row r="434" ht="15.75" customHeight="1" s="58"/>
    <row r="435" ht="15.75" customHeight="1" s="58"/>
    <row r="436" ht="15.75" customHeight="1" s="58"/>
    <row r="437" ht="15.75" customHeight="1" s="58"/>
    <row r="438" ht="15.75" customHeight="1" s="58"/>
    <row r="439" ht="15.75" customHeight="1" s="58"/>
    <row r="440" ht="15.75" customHeight="1" s="58"/>
    <row r="441" ht="15.75" customHeight="1" s="58"/>
    <row r="442" ht="15.75" customHeight="1" s="58"/>
    <row r="443" ht="15.75" customHeight="1" s="58"/>
    <row r="444" ht="15.75" customHeight="1" s="58"/>
    <row r="445" ht="15.75" customHeight="1" s="58"/>
    <row r="446" ht="15.75" customHeight="1" s="58"/>
    <row r="447" ht="15.75" customHeight="1" s="58"/>
    <row r="448" ht="15.75" customHeight="1" s="58"/>
    <row r="449" ht="15.75" customHeight="1" s="58"/>
    <row r="450" ht="15.75" customHeight="1" s="58"/>
    <row r="451" ht="15.75" customHeight="1" s="58"/>
    <row r="452" ht="15.75" customHeight="1" s="58"/>
    <row r="453" ht="15.75" customHeight="1" s="58"/>
    <row r="454" ht="15.75" customHeight="1" s="58"/>
    <row r="455" ht="15.75" customHeight="1" s="58"/>
    <row r="456" ht="15.75" customHeight="1" s="58"/>
    <row r="457" ht="15.75" customHeight="1" s="58"/>
    <row r="458" ht="15.75" customHeight="1" s="58"/>
    <row r="459" ht="15.75" customHeight="1" s="58"/>
    <row r="460" ht="15.75" customHeight="1" s="58"/>
    <row r="461" ht="15.75" customHeight="1" s="58"/>
    <row r="462" ht="15.75" customHeight="1" s="58"/>
    <row r="463" ht="15.75" customHeight="1" s="58"/>
    <row r="464" ht="15.75" customHeight="1" s="58"/>
    <row r="465" ht="15.75" customHeight="1" s="58"/>
    <row r="466" ht="15.75" customHeight="1" s="58"/>
    <row r="467" ht="15.75" customHeight="1" s="58"/>
    <row r="468" ht="15.75" customHeight="1" s="58"/>
    <row r="469" ht="15.75" customHeight="1" s="58"/>
    <row r="470" ht="15.75" customHeight="1" s="58"/>
    <row r="471" ht="15.75" customHeight="1" s="58"/>
    <row r="472" ht="15.75" customHeight="1" s="58"/>
    <row r="473" ht="15.75" customHeight="1" s="58"/>
    <row r="474" ht="15.75" customHeight="1" s="58"/>
    <row r="475" ht="15.75" customHeight="1" s="58"/>
    <row r="476" ht="15.75" customHeight="1" s="58"/>
    <row r="477" ht="15.75" customHeight="1" s="58"/>
    <row r="478" ht="15.75" customHeight="1" s="58"/>
    <row r="479" ht="15.75" customHeight="1" s="58"/>
    <row r="480" ht="15.75" customHeight="1" s="58"/>
    <row r="481" ht="15.75" customHeight="1" s="58"/>
    <row r="482" ht="15.75" customHeight="1" s="58"/>
    <row r="483" ht="15.75" customHeight="1" s="58"/>
    <row r="484" ht="15.75" customHeight="1" s="58"/>
    <row r="485" ht="15.75" customHeight="1" s="58"/>
    <row r="486" ht="15.75" customHeight="1" s="58"/>
    <row r="487" ht="15.75" customHeight="1" s="58"/>
    <row r="488" ht="15.75" customHeight="1" s="58"/>
    <row r="489" ht="15.75" customHeight="1" s="58"/>
    <row r="490" ht="15.75" customHeight="1" s="58"/>
    <row r="491" ht="15.75" customHeight="1" s="58"/>
    <row r="492" ht="15.75" customHeight="1" s="58"/>
    <row r="493" ht="15.75" customHeight="1" s="58"/>
    <row r="494" ht="15.75" customHeight="1" s="58"/>
    <row r="495" ht="15.75" customHeight="1" s="58"/>
    <row r="496" ht="15.75" customHeight="1" s="58"/>
    <row r="497" ht="15.75" customHeight="1" s="58"/>
    <row r="498" ht="15.75" customHeight="1" s="58"/>
    <row r="499" ht="15.75" customHeight="1" s="58"/>
    <row r="500" ht="15.75" customHeight="1" s="58"/>
    <row r="501" ht="15.75" customHeight="1" s="58"/>
    <row r="502" ht="15.75" customHeight="1" s="58"/>
    <row r="503" ht="15.75" customHeight="1" s="58"/>
    <row r="504" ht="15.75" customHeight="1" s="58"/>
    <row r="505" ht="15.75" customHeight="1" s="58"/>
    <row r="506" ht="15.75" customHeight="1" s="58"/>
    <row r="507" ht="15.75" customHeight="1" s="58"/>
    <row r="508" ht="15.75" customHeight="1" s="58"/>
    <row r="509" ht="15.75" customHeight="1" s="58"/>
    <row r="510" ht="15.75" customHeight="1" s="58"/>
    <row r="511" ht="15.75" customHeight="1" s="58"/>
    <row r="512" ht="15.75" customHeight="1" s="58"/>
    <row r="513" ht="15.75" customHeight="1" s="58"/>
    <row r="514" ht="15.75" customHeight="1" s="58"/>
    <row r="515" ht="15.75" customHeight="1" s="58"/>
    <row r="516" ht="15.75" customHeight="1" s="58"/>
    <row r="517" ht="15.75" customHeight="1" s="58"/>
    <row r="518" ht="15.75" customHeight="1" s="58"/>
    <row r="519" ht="15.75" customHeight="1" s="58"/>
    <row r="520" ht="15.75" customHeight="1" s="58"/>
    <row r="521" ht="15.75" customHeight="1" s="58"/>
    <row r="522" ht="15.75" customHeight="1" s="58"/>
    <row r="523" ht="15.75" customHeight="1" s="58"/>
    <row r="524" ht="15.75" customHeight="1" s="58"/>
    <row r="525" ht="15.75" customHeight="1" s="58"/>
    <row r="526" ht="15.75" customHeight="1" s="58"/>
    <row r="527" ht="15.75" customHeight="1" s="58"/>
    <row r="528" ht="15.75" customHeight="1" s="58"/>
    <row r="529" ht="15.75" customHeight="1" s="58"/>
    <row r="530" ht="15.75" customHeight="1" s="58"/>
    <row r="531" ht="15.75" customHeight="1" s="58"/>
    <row r="532" ht="15.75" customHeight="1" s="58"/>
    <row r="533" ht="15.75" customHeight="1" s="58"/>
    <row r="534" ht="15.75" customHeight="1" s="58"/>
    <row r="535" ht="15.75" customHeight="1" s="58"/>
    <row r="536" ht="15.75" customHeight="1" s="58"/>
    <row r="537" ht="15.75" customHeight="1" s="58"/>
    <row r="538" ht="15.75" customHeight="1" s="58"/>
    <row r="539" ht="15.75" customHeight="1" s="58"/>
    <row r="540" ht="15.75" customHeight="1" s="58"/>
    <row r="541" ht="15.75" customHeight="1" s="58"/>
    <row r="542" ht="15.75" customHeight="1" s="58"/>
    <row r="543" ht="15.75" customHeight="1" s="58"/>
    <row r="544" ht="15.75" customHeight="1" s="58"/>
    <row r="545" ht="15.75" customHeight="1" s="58"/>
    <row r="546" ht="15.75" customHeight="1" s="58"/>
    <row r="547" ht="15.75" customHeight="1" s="58"/>
    <row r="548" ht="15.75" customHeight="1" s="58"/>
    <row r="549" ht="15.75" customHeight="1" s="58"/>
    <row r="550" ht="15.75" customHeight="1" s="58"/>
    <row r="551" ht="15.75" customHeight="1" s="58"/>
    <row r="552" ht="15.75" customHeight="1" s="58"/>
    <row r="553" ht="15.75" customHeight="1" s="58"/>
    <row r="554" ht="15.75" customHeight="1" s="58"/>
    <row r="555" ht="15.75" customHeight="1" s="58"/>
    <row r="556" ht="15.75" customHeight="1" s="58"/>
    <row r="557" ht="15.75" customHeight="1" s="58"/>
    <row r="558" ht="15.75" customHeight="1" s="58"/>
    <row r="559" ht="15.75" customHeight="1" s="58"/>
    <row r="560" ht="15.75" customHeight="1" s="58"/>
    <row r="561" ht="15.75" customHeight="1" s="58"/>
    <row r="562" ht="15.75" customHeight="1" s="58"/>
    <row r="563" ht="15.75" customHeight="1" s="58"/>
    <row r="564" ht="15.75" customHeight="1" s="58"/>
    <row r="565" ht="15.75" customHeight="1" s="58"/>
    <row r="566" ht="15.75" customHeight="1" s="58"/>
    <row r="567" ht="15.75" customHeight="1" s="58"/>
    <row r="568" ht="15.75" customHeight="1" s="58"/>
    <row r="569" ht="15.75" customHeight="1" s="58"/>
    <row r="570" ht="15.75" customHeight="1" s="58"/>
    <row r="571" ht="15.75" customHeight="1" s="58"/>
    <row r="572" ht="15.75" customHeight="1" s="58"/>
    <row r="573" ht="15.75" customHeight="1" s="58"/>
    <row r="574" ht="15.75" customHeight="1" s="58"/>
    <row r="575" ht="15.75" customHeight="1" s="58"/>
    <row r="576" ht="15.75" customHeight="1" s="58"/>
    <row r="577" ht="15.75" customHeight="1" s="58"/>
    <row r="578" ht="15.75" customHeight="1" s="58"/>
    <row r="579" ht="15.75" customHeight="1" s="58"/>
    <row r="580" ht="15.75" customHeight="1" s="58"/>
    <row r="581" ht="15.75" customHeight="1" s="58"/>
    <row r="582" ht="15.75" customHeight="1" s="58"/>
    <row r="583" ht="15.75" customHeight="1" s="58"/>
    <row r="584" ht="15.75" customHeight="1" s="58"/>
    <row r="585" ht="15.75" customHeight="1" s="58"/>
    <row r="586" ht="15.75" customHeight="1" s="58"/>
    <row r="587" ht="15.75" customHeight="1" s="58"/>
    <row r="588" ht="15.75" customHeight="1" s="58"/>
    <row r="589" ht="15.75" customHeight="1" s="58"/>
    <row r="590" ht="15.75" customHeight="1" s="58"/>
    <row r="591" ht="15.75" customHeight="1" s="58"/>
    <row r="592" ht="15.75" customHeight="1" s="58"/>
    <row r="593" ht="15.75" customHeight="1" s="58"/>
    <row r="594" ht="15.75" customHeight="1" s="58"/>
    <row r="595" ht="15.75" customHeight="1" s="58"/>
    <row r="596" ht="15.75" customHeight="1" s="58"/>
    <row r="597" ht="15.75" customHeight="1" s="58"/>
    <row r="598" ht="15.75" customHeight="1" s="58"/>
    <row r="599" ht="15.75" customHeight="1" s="58"/>
    <row r="600" ht="15.75" customHeight="1" s="58"/>
    <row r="601" ht="15.75" customHeight="1" s="58"/>
    <row r="602" ht="15.75" customHeight="1" s="58"/>
    <row r="603" ht="15.75" customHeight="1" s="58"/>
    <row r="604" ht="15.75" customHeight="1" s="58"/>
    <row r="605" ht="15.75" customHeight="1" s="58"/>
    <row r="606" ht="15.75" customHeight="1" s="58"/>
    <row r="607" ht="15.75" customHeight="1" s="58"/>
    <row r="608" ht="15.75" customHeight="1" s="58"/>
    <row r="609" ht="15.75" customHeight="1" s="58"/>
    <row r="610" ht="15.75" customHeight="1" s="58"/>
    <row r="611" ht="15.75" customHeight="1" s="58"/>
    <row r="612" ht="15.75" customHeight="1" s="58"/>
    <row r="613" ht="15.75" customHeight="1" s="58"/>
    <row r="614" ht="15.75" customHeight="1" s="58"/>
    <row r="615" ht="15.75" customHeight="1" s="58"/>
    <row r="616" ht="15.75" customHeight="1" s="58"/>
    <row r="617" ht="15.75" customHeight="1" s="58"/>
    <row r="618" ht="15.75" customHeight="1" s="58"/>
    <row r="619" ht="15.75" customHeight="1" s="58"/>
    <row r="620" ht="15.75" customHeight="1" s="58"/>
    <row r="621" ht="15.75" customHeight="1" s="58"/>
    <row r="622" ht="15.75" customHeight="1" s="58"/>
    <row r="623" ht="15.75" customHeight="1" s="58"/>
    <row r="624" ht="15.75" customHeight="1" s="58"/>
    <row r="625" ht="15.75" customHeight="1" s="58"/>
    <row r="626" ht="15.75" customHeight="1" s="58"/>
    <row r="627" ht="15.75" customHeight="1" s="58"/>
    <row r="628" ht="15.75" customHeight="1" s="58"/>
    <row r="629" ht="15.75" customHeight="1" s="58"/>
    <row r="630" ht="15.75" customHeight="1" s="58"/>
    <row r="631" ht="15.75" customHeight="1" s="58"/>
    <row r="632" ht="15.75" customHeight="1" s="58"/>
    <row r="633" ht="15.75" customHeight="1" s="58"/>
    <row r="634" ht="15.75" customHeight="1" s="58"/>
    <row r="635" ht="15.75" customHeight="1" s="58"/>
    <row r="636" ht="15.75" customHeight="1" s="58"/>
    <row r="637" ht="15.75" customHeight="1" s="58"/>
    <row r="638" ht="15.75" customHeight="1" s="58"/>
    <row r="639" ht="15.75" customHeight="1" s="58"/>
    <row r="640" ht="15.75" customHeight="1" s="58"/>
    <row r="641" ht="15.75" customHeight="1" s="58"/>
    <row r="642" ht="15.75" customHeight="1" s="58"/>
    <row r="643" ht="15.75" customHeight="1" s="58"/>
    <row r="644" ht="15.75" customHeight="1" s="58"/>
    <row r="645" ht="15.75" customHeight="1" s="58"/>
    <row r="646" ht="15.75" customHeight="1" s="58"/>
    <row r="647" ht="15.75" customHeight="1" s="58"/>
    <row r="648" ht="15.75" customHeight="1" s="58"/>
    <row r="649" ht="15.75" customHeight="1" s="58"/>
    <row r="650" ht="15.75" customHeight="1" s="58"/>
    <row r="651" ht="15.75" customHeight="1" s="58"/>
    <row r="652" ht="15.75" customHeight="1" s="58"/>
    <row r="653" ht="15.75" customHeight="1" s="58"/>
    <row r="654" ht="15.75" customHeight="1" s="58"/>
    <row r="655" ht="15.75" customHeight="1" s="58"/>
    <row r="656" ht="15.75" customHeight="1" s="58"/>
    <row r="657" ht="15.75" customHeight="1" s="58"/>
    <row r="658" ht="15.75" customHeight="1" s="58"/>
    <row r="659" ht="15.75" customHeight="1" s="58"/>
    <row r="660" ht="15.75" customHeight="1" s="58"/>
    <row r="661" ht="15.75" customHeight="1" s="58"/>
    <row r="662" ht="15.75" customHeight="1" s="58"/>
    <row r="663" ht="15.75" customHeight="1" s="58"/>
    <row r="664" ht="15.75" customHeight="1" s="58"/>
    <row r="665" ht="15.75" customHeight="1" s="58"/>
    <row r="666" ht="15.75" customHeight="1" s="58"/>
    <row r="667" ht="15.75" customHeight="1" s="58"/>
    <row r="668" ht="15.75" customHeight="1" s="58"/>
    <row r="669" ht="15.75" customHeight="1" s="58"/>
    <row r="670" ht="15.75" customHeight="1" s="58"/>
    <row r="671" ht="15.75" customHeight="1" s="58"/>
    <row r="672" ht="15.75" customHeight="1" s="58"/>
    <row r="673" ht="15.75" customHeight="1" s="58"/>
    <row r="674" ht="15.75" customHeight="1" s="58"/>
    <row r="675" ht="15.75" customHeight="1" s="58"/>
    <row r="676" ht="15.75" customHeight="1" s="58"/>
    <row r="677" ht="15.75" customHeight="1" s="58"/>
    <row r="678" ht="15.75" customHeight="1" s="58"/>
    <row r="679" ht="15.75" customHeight="1" s="58"/>
    <row r="680" ht="15.75" customHeight="1" s="58"/>
    <row r="681" ht="15.75" customHeight="1" s="58"/>
    <row r="682" ht="15.75" customHeight="1" s="58"/>
    <row r="683" ht="15.75" customHeight="1" s="58"/>
    <row r="684" ht="15.75" customHeight="1" s="58"/>
    <row r="685" ht="15.75" customHeight="1" s="58"/>
    <row r="686" ht="15.75" customHeight="1" s="58"/>
    <row r="687" ht="15.75" customHeight="1" s="58"/>
    <row r="688" ht="15.75" customHeight="1" s="58"/>
    <row r="689" ht="15.75" customHeight="1" s="58"/>
    <row r="690" ht="15.75" customHeight="1" s="58"/>
    <row r="691" ht="15.75" customHeight="1" s="58"/>
    <row r="692" ht="15.75" customHeight="1" s="58"/>
    <row r="693" ht="15.75" customHeight="1" s="58"/>
    <row r="694" ht="15.75" customHeight="1" s="58"/>
    <row r="695" ht="15.75" customHeight="1" s="58"/>
    <row r="696" ht="15.75" customHeight="1" s="58"/>
    <row r="697" ht="15.75" customHeight="1" s="58"/>
    <row r="698" ht="15.75" customHeight="1" s="58"/>
    <row r="699" ht="15.75" customHeight="1" s="58"/>
    <row r="700" ht="15.75" customHeight="1" s="58"/>
    <row r="701" ht="15.75" customHeight="1" s="58"/>
    <row r="702" ht="15.75" customHeight="1" s="58"/>
    <row r="703" ht="15.75" customHeight="1" s="58"/>
    <row r="704" ht="15.75" customHeight="1" s="58"/>
    <row r="705" ht="15.75" customHeight="1" s="58"/>
    <row r="706" ht="15.75" customHeight="1" s="58"/>
    <row r="707" ht="15.75" customHeight="1" s="58"/>
    <row r="708" ht="15.75" customHeight="1" s="58"/>
    <row r="709" ht="15.75" customHeight="1" s="58"/>
    <row r="710" ht="15.75" customHeight="1" s="58"/>
    <row r="711" ht="15.75" customHeight="1" s="58"/>
    <row r="712" ht="15.75" customHeight="1" s="58"/>
    <row r="713" ht="15.75" customHeight="1" s="58"/>
    <row r="714" ht="15.75" customHeight="1" s="58"/>
    <row r="715" ht="15.75" customHeight="1" s="58"/>
    <row r="716" ht="15.75" customHeight="1" s="58"/>
    <row r="717" ht="15.75" customHeight="1" s="58"/>
    <row r="718" ht="15.75" customHeight="1" s="58"/>
    <row r="719" ht="15.75" customHeight="1" s="58"/>
    <row r="720" ht="15.75" customHeight="1" s="58"/>
    <row r="721" ht="15.75" customHeight="1" s="58"/>
    <row r="722" ht="15.75" customHeight="1" s="58"/>
    <row r="723" ht="15.75" customHeight="1" s="58"/>
    <row r="724" ht="15.75" customHeight="1" s="58"/>
    <row r="725" ht="15.75" customHeight="1" s="58"/>
    <row r="726" ht="15.75" customHeight="1" s="58"/>
    <row r="727" ht="15.75" customHeight="1" s="58"/>
    <row r="728" ht="15.75" customHeight="1" s="58"/>
    <row r="729" ht="15.75" customHeight="1" s="58"/>
    <row r="730" ht="15.75" customHeight="1" s="58"/>
    <row r="731" ht="15.75" customHeight="1" s="58"/>
    <row r="732" ht="15.75" customHeight="1" s="58"/>
    <row r="733" ht="15.75" customHeight="1" s="58"/>
    <row r="734" ht="15.75" customHeight="1" s="58"/>
    <row r="735" ht="15.75" customHeight="1" s="58"/>
    <row r="736" ht="15.75" customHeight="1" s="58"/>
    <row r="737" ht="15.75" customHeight="1" s="58"/>
    <row r="738" ht="15.75" customHeight="1" s="58"/>
    <row r="739" ht="15.75" customHeight="1" s="58"/>
    <row r="740" ht="15.75" customHeight="1" s="58"/>
    <row r="741" ht="15.75" customHeight="1" s="58"/>
    <row r="742" ht="15.75" customHeight="1" s="58"/>
    <row r="743" ht="15.75" customHeight="1" s="58"/>
    <row r="744" ht="15.75" customHeight="1" s="58"/>
    <row r="745" ht="15.75" customHeight="1" s="58"/>
    <row r="746" ht="15.75" customHeight="1" s="58"/>
    <row r="747" ht="15.75" customHeight="1" s="58"/>
    <row r="748" ht="15.75" customHeight="1" s="58"/>
    <row r="749" ht="15.75" customHeight="1" s="58"/>
    <row r="750" ht="15.75" customHeight="1" s="58"/>
    <row r="751" ht="15.75" customHeight="1" s="58"/>
    <row r="752" ht="15.75" customHeight="1" s="58"/>
    <row r="753" ht="15.75" customHeight="1" s="58"/>
    <row r="754" ht="15.75" customHeight="1" s="58"/>
    <row r="755" ht="15.75" customHeight="1" s="58"/>
    <row r="756" ht="15.75" customHeight="1" s="58"/>
    <row r="757" ht="15.75" customHeight="1" s="58"/>
    <row r="758" ht="15.75" customHeight="1" s="58"/>
    <row r="759" ht="15.75" customHeight="1" s="58"/>
    <row r="760" ht="15.75" customHeight="1" s="58"/>
    <row r="761" ht="15.75" customHeight="1" s="58"/>
    <row r="762" ht="15.75" customHeight="1" s="58"/>
    <row r="763" ht="15.75" customHeight="1" s="58"/>
    <row r="764" ht="15.75" customHeight="1" s="58"/>
    <row r="765" ht="15.75" customHeight="1" s="58"/>
    <row r="766" ht="15.75" customHeight="1" s="58"/>
    <row r="767" ht="15.75" customHeight="1" s="58"/>
    <row r="768" ht="15.75" customHeight="1" s="58"/>
    <row r="769" ht="15.75" customHeight="1" s="58"/>
    <row r="770" ht="15.75" customHeight="1" s="58"/>
    <row r="771" ht="15.75" customHeight="1" s="58"/>
    <row r="772" ht="15.75" customHeight="1" s="58"/>
    <row r="773" ht="15.75" customHeight="1" s="58"/>
    <row r="774" ht="15.75" customHeight="1" s="58"/>
    <row r="775" ht="15.75" customHeight="1" s="58"/>
    <row r="776" ht="15.75" customHeight="1" s="58"/>
    <row r="777" ht="15.75" customHeight="1" s="58"/>
    <row r="778" ht="15.75" customHeight="1" s="58"/>
    <row r="779" ht="15.75" customHeight="1" s="58"/>
    <row r="780" ht="15.75" customHeight="1" s="58"/>
    <row r="781" ht="15.75" customHeight="1" s="58"/>
    <row r="782" ht="15.75" customHeight="1" s="58"/>
    <row r="783" ht="15.75" customHeight="1" s="58"/>
    <row r="784" ht="15.75" customHeight="1" s="58"/>
    <row r="785" ht="15.75" customHeight="1" s="58"/>
    <row r="786" ht="15.75" customHeight="1" s="58"/>
    <row r="787" ht="15.75" customHeight="1" s="58"/>
    <row r="788" ht="15.75" customHeight="1" s="58"/>
    <row r="789" ht="15.75" customHeight="1" s="58"/>
    <row r="790" ht="15.75" customHeight="1" s="58"/>
    <row r="791" ht="15.75" customHeight="1" s="58"/>
    <row r="792" ht="15.75" customHeight="1" s="58"/>
    <row r="793" ht="15.75" customHeight="1" s="58"/>
    <row r="794" ht="15.75" customHeight="1" s="58"/>
    <row r="795" ht="15.75" customHeight="1" s="58"/>
    <row r="796" ht="15.75" customHeight="1" s="58"/>
    <row r="797" ht="15.75" customHeight="1" s="58"/>
    <row r="798" ht="15.75" customHeight="1" s="58"/>
    <row r="799" ht="15.75" customHeight="1" s="58"/>
    <row r="800" ht="15.75" customHeight="1" s="58"/>
    <row r="801" ht="15.75" customHeight="1" s="58"/>
    <row r="802" ht="15.75" customHeight="1" s="58"/>
    <row r="803" ht="15.75" customHeight="1" s="58"/>
    <row r="804" ht="15.75" customHeight="1" s="58"/>
    <row r="805" ht="15.75" customHeight="1" s="58"/>
    <row r="806" ht="15.75" customHeight="1" s="58"/>
    <row r="807" ht="15.75" customHeight="1" s="58"/>
    <row r="808" ht="15.75" customHeight="1" s="58"/>
    <row r="809" ht="15.75" customHeight="1" s="58"/>
    <row r="810" ht="15.75" customHeight="1" s="58"/>
    <row r="811" ht="15.75" customHeight="1" s="58"/>
    <row r="812" ht="15.75" customHeight="1" s="58"/>
    <row r="813" ht="15.75" customHeight="1" s="58"/>
    <row r="814" ht="15.75" customHeight="1" s="58"/>
    <row r="815" ht="15.75" customHeight="1" s="58"/>
    <row r="816" ht="15.75" customHeight="1" s="58"/>
    <row r="817" ht="15.75" customHeight="1" s="58"/>
    <row r="818" ht="15.75" customHeight="1" s="58"/>
    <row r="819" ht="15.75" customHeight="1" s="58"/>
    <row r="820" ht="15.75" customHeight="1" s="58"/>
    <row r="821" ht="15.75" customHeight="1" s="58"/>
    <row r="822" ht="15.75" customHeight="1" s="58"/>
    <row r="823" ht="15.75" customHeight="1" s="58"/>
    <row r="824" ht="15.75" customHeight="1" s="58"/>
    <row r="825" ht="15.75" customHeight="1" s="58"/>
    <row r="826" ht="15.75" customHeight="1" s="58"/>
    <row r="827" ht="15.75" customHeight="1" s="58"/>
    <row r="828" ht="15.75" customHeight="1" s="58"/>
    <row r="829" ht="15.75" customHeight="1" s="58"/>
    <row r="830" ht="15.75" customHeight="1" s="58"/>
    <row r="831" ht="15.75" customHeight="1" s="58"/>
    <row r="832" ht="15.75" customHeight="1" s="58"/>
    <row r="833" ht="15.75" customHeight="1" s="58"/>
    <row r="834" ht="15.75" customHeight="1" s="58"/>
    <row r="835" ht="15.75" customHeight="1" s="58"/>
    <row r="836" ht="15.75" customHeight="1" s="58"/>
    <row r="837" ht="15.75" customHeight="1" s="58"/>
    <row r="838" ht="15.75" customHeight="1" s="58"/>
    <row r="839" ht="15.75" customHeight="1" s="58"/>
    <row r="840" ht="15.75" customHeight="1" s="58"/>
    <row r="841" ht="15.75" customHeight="1" s="58"/>
    <row r="842" ht="15.75" customHeight="1" s="58"/>
    <row r="843" ht="15.75" customHeight="1" s="58"/>
    <row r="844" ht="15.75" customHeight="1" s="58"/>
    <row r="845" ht="15.75" customHeight="1" s="58"/>
    <row r="846" ht="15.75" customHeight="1" s="58"/>
    <row r="847" ht="15.75" customHeight="1" s="58"/>
    <row r="848" ht="15.75" customHeight="1" s="58"/>
    <row r="849" ht="15.75" customHeight="1" s="58"/>
    <row r="850" ht="15.75" customHeight="1" s="58"/>
    <row r="851" ht="15.75" customHeight="1" s="58"/>
    <row r="852" ht="15.75" customHeight="1" s="58"/>
    <row r="853" ht="15.75" customHeight="1" s="58"/>
    <row r="854" ht="15.75" customHeight="1" s="58"/>
    <row r="855" ht="15.75" customHeight="1" s="58"/>
    <row r="856" ht="15.75" customHeight="1" s="58"/>
    <row r="857" ht="15.75" customHeight="1" s="58"/>
    <row r="858" ht="15.75" customHeight="1" s="58"/>
    <row r="859" ht="15.75" customHeight="1" s="58"/>
    <row r="860" ht="15.75" customHeight="1" s="58"/>
    <row r="861" ht="15.75" customHeight="1" s="58"/>
    <row r="862" ht="15.75" customHeight="1" s="58"/>
    <row r="863" ht="15.75" customHeight="1" s="58"/>
    <row r="864" ht="15.75" customHeight="1" s="58"/>
    <row r="865" ht="15.75" customHeight="1" s="58"/>
    <row r="866" ht="15.75" customHeight="1" s="58"/>
    <row r="867" ht="15.75" customHeight="1" s="58"/>
    <row r="868" ht="15.75" customHeight="1" s="58"/>
    <row r="869" ht="15.75" customHeight="1" s="58"/>
    <row r="870" ht="15.75" customHeight="1" s="58"/>
    <row r="871" ht="15.75" customHeight="1" s="58"/>
    <row r="872" ht="15.75" customHeight="1" s="58"/>
    <row r="873" ht="15.75" customHeight="1" s="58"/>
    <row r="874" ht="15.75" customHeight="1" s="58"/>
    <row r="875" ht="15.75" customHeight="1" s="58"/>
    <row r="876" ht="15.75" customHeight="1" s="58"/>
    <row r="877" ht="15.75" customHeight="1" s="58"/>
    <row r="878" ht="15.75" customHeight="1" s="58"/>
    <row r="879" ht="15.75" customHeight="1" s="58"/>
    <row r="880" ht="15.75" customHeight="1" s="58"/>
    <row r="881" ht="15.75" customHeight="1" s="58"/>
    <row r="882" ht="15.75" customHeight="1" s="58"/>
    <row r="883" ht="15.75" customHeight="1" s="58"/>
    <row r="884" ht="15.75" customHeight="1" s="58"/>
    <row r="885" ht="15.75" customHeight="1" s="58"/>
    <row r="886" ht="15.75" customHeight="1" s="58"/>
    <row r="887" ht="15.75" customHeight="1" s="58"/>
    <row r="888" ht="15.75" customHeight="1" s="58"/>
    <row r="889" ht="15.75" customHeight="1" s="58"/>
    <row r="890" ht="15.75" customHeight="1" s="58"/>
    <row r="891" ht="15.75" customHeight="1" s="58"/>
    <row r="892" ht="15.75" customHeight="1" s="58"/>
    <row r="893" ht="15.75" customHeight="1" s="58"/>
    <row r="894" ht="15.75" customHeight="1" s="58"/>
    <row r="895" ht="15.75" customHeight="1" s="58"/>
    <row r="896" ht="15.75" customHeight="1" s="58"/>
    <row r="897" ht="15.75" customHeight="1" s="58"/>
    <row r="898" ht="15.75" customHeight="1" s="58"/>
    <row r="899" ht="15.75" customHeight="1" s="58"/>
    <row r="900" ht="15.75" customHeight="1" s="58"/>
    <row r="901" ht="15.75" customHeight="1" s="58"/>
    <row r="902" ht="15.75" customHeight="1" s="58"/>
    <row r="903" ht="15.75" customHeight="1" s="58"/>
    <row r="904" ht="15.75" customHeight="1" s="58"/>
    <row r="905" ht="15.75" customHeight="1" s="58"/>
    <row r="906" ht="15.75" customHeight="1" s="58"/>
    <row r="907" ht="15.75" customHeight="1" s="58"/>
    <row r="908" ht="15.75" customHeight="1" s="58"/>
    <row r="909" ht="15.75" customHeight="1" s="58"/>
    <row r="910" ht="15.75" customHeight="1" s="58"/>
    <row r="911" ht="15.75" customHeight="1" s="58"/>
    <row r="912" ht="15.75" customHeight="1" s="58"/>
    <row r="913" ht="15.75" customHeight="1" s="58"/>
    <row r="914" ht="15.75" customHeight="1" s="58"/>
    <row r="915" ht="15.75" customHeight="1" s="58"/>
    <row r="916" ht="15.75" customHeight="1" s="58"/>
    <row r="917" ht="15.75" customHeight="1" s="58"/>
    <row r="918" ht="15.75" customHeight="1" s="58"/>
    <row r="919" ht="15.75" customHeight="1" s="58"/>
    <row r="920" ht="15.75" customHeight="1" s="58"/>
    <row r="921" ht="15.75" customHeight="1" s="58"/>
    <row r="922" ht="15.75" customHeight="1" s="58"/>
    <row r="923" ht="15.75" customHeight="1" s="58"/>
    <row r="924" ht="15.75" customHeight="1" s="58"/>
    <row r="925" ht="15.75" customHeight="1" s="58"/>
    <row r="926" ht="15.75" customHeight="1" s="58"/>
    <row r="927" ht="15.75" customHeight="1" s="58"/>
    <row r="928" ht="15.75" customHeight="1" s="58"/>
    <row r="929" ht="15.75" customHeight="1" s="58"/>
    <row r="930" ht="15.75" customHeight="1" s="58"/>
    <row r="931" ht="15.75" customHeight="1" s="58"/>
    <row r="932" ht="15.75" customHeight="1" s="58"/>
    <row r="933" ht="15.75" customHeight="1" s="58"/>
    <row r="934" ht="15.75" customHeight="1" s="58"/>
    <row r="935" ht="15.75" customHeight="1" s="58"/>
    <row r="936" ht="15.75" customHeight="1" s="58"/>
    <row r="937" ht="15.75" customHeight="1" s="58"/>
    <row r="938" ht="15.75" customHeight="1" s="58"/>
    <row r="939" ht="15.75" customHeight="1" s="58"/>
    <row r="940" ht="15.75" customHeight="1" s="58"/>
    <row r="941" ht="15.75" customHeight="1" s="58"/>
    <row r="942" ht="15.75" customHeight="1" s="58"/>
    <row r="943" ht="15.75" customHeight="1" s="58"/>
    <row r="944" ht="15.75" customHeight="1" s="58"/>
    <row r="945" ht="15.75" customHeight="1" s="58"/>
    <row r="946" ht="15.75" customHeight="1" s="58"/>
    <row r="947" ht="15.75" customHeight="1" s="58"/>
    <row r="948" ht="15.75" customHeight="1" s="58"/>
    <row r="949" ht="15.75" customHeight="1" s="58"/>
    <row r="950" ht="15.75" customHeight="1" s="58"/>
    <row r="951" ht="15.75" customHeight="1" s="58"/>
    <row r="952" ht="15.75" customHeight="1" s="58"/>
    <row r="953" ht="15.75" customHeight="1" s="58"/>
    <row r="954" ht="15.75" customHeight="1" s="58"/>
    <row r="955" ht="15.75" customHeight="1" s="58"/>
    <row r="956" ht="15.75" customHeight="1" s="58"/>
    <row r="957" ht="15.75" customHeight="1" s="58"/>
    <row r="958" ht="15.75" customHeight="1" s="58"/>
    <row r="959" ht="15.75" customHeight="1" s="58"/>
    <row r="960" ht="15.75" customHeight="1" s="58"/>
    <row r="961" ht="15.75" customHeight="1" s="58"/>
    <row r="962" ht="15.75" customHeight="1" s="58"/>
    <row r="963" ht="15.75" customHeight="1" s="58"/>
    <row r="964" ht="15.75" customHeight="1" s="58"/>
    <row r="965" ht="15.75" customHeight="1" s="58"/>
    <row r="966" ht="15.75" customHeight="1" s="58"/>
    <row r="967" ht="15.75" customHeight="1" s="58"/>
    <row r="968" ht="15.75" customHeight="1" s="58"/>
    <row r="969" ht="15.75" customHeight="1" s="58"/>
    <row r="970" ht="15.75" customHeight="1" s="58"/>
    <row r="971" ht="15.75" customHeight="1" s="58"/>
    <row r="972" ht="15.75" customHeight="1" s="58"/>
    <row r="973" ht="15.75" customHeight="1" s="58"/>
    <row r="974" ht="15.75" customHeight="1" s="58"/>
    <row r="975" ht="15.75" customHeight="1" s="58"/>
    <row r="976" ht="15.75" customHeight="1" s="58"/>
    <row r="977" ht="15.75" customHeight="1" s="58"/>
    <row r="978" ht="15.75" customHeight="1" s="58"/>
    <row r="979" ht="15.75" customHeight="1" s="58"/>
    <row r="980" ht="15.75" customHeight="1" s="58"/>
    <row r="981" ht="15.75" customHeight="1" s="58"/>
    <row r="982" ht="15.75" customHeight="1" s="58"/>
    <row r="983" ht="15.75" customHeight="1" s="58"/>
    <row r="984" ht="15.75" customHeight="1" s="58"/>
    <row r="985" ht="15.75" customHeight="1" s="58"/>
    <row r="986" ht="15.75" customHeight="1" s="58"/>
    <row r="987" ht="15.75" customHeight="1" s="58"/>
    <row r="988" ht="15.75" customHeight="1" s="58"/>
    <row r="989" ht="15.75" customHeight="1" s="58"/>
    <row r="990" ht="15.75" customHeight="1" s="58"/>
    <row r="991" ht="15.75" customHeight="1" s="58"/>
    <row r="992" ht="15.75" customHeight="1" s="58"/>
    <row r="993" ht="15.75" customHeight="1" s="58"/>
    <row r="994" ht="15.75" customHeight="1" s="58"/>
    <row r="995" ht="15.75" customHeight="1" s="58"/>
    <row r="996" ht="15.75" customHeight="1" s="58"/>
    <row r="997" ht="15.75" customHeight="1" s="58"/>
    <row r="998" ht="15.75" customHeight="1" s="58"/>
    <row r="999" ht="15.75" customHeight="1" s="58"/>
    <row r="1000" ht="15.75" customHeight="1" s="58"/>
  </sheetData>
  <mergeCells count="19">
    <mergeCell ref="A40:Z40"/>
    <mergeCell ref="A9:Z9"/>
    <mergeCell ref="A31:Z31"/>
    <mergeCell ref="C58:J58"/>
    <mergeCell ref="A48:Z48"/>
    <mergeCell ref="A24:Z24"/>
    <mergeCell ref="A1:Z1"/>
    <mergeCell ref="A25:Z25"/>
    <mergeCell ref="E34:P38"/>
    <mergeCell ref="A41:Z41"/>
    <mergeCell ref="C56:J56"/>
    <mergeCell ref="C59:J59"/>
    <mergeCell ref="A18:Z18"/>
    <mergeCell ref="A3:Z3"/>
    <mergeCell ref="A55:Z55"/>
    <mergeCell ref="A2:Z2"/>
    <mergeCell ref="C52:J52"/>
    <mergeCell ref="A32:Z32"/>
    <mergeCell ref="C49:J49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2026-07-25T16:12:23Z</dcterms:created>
  <dcterms:modified xmlns:dcterms="http://purl.org/dc/terms/" xmlns:xsi="http://www.w3.org/2001/XMLSchema-instance" xsi:type="dcterms:W3CDTF">2026-08-21T21:00:37Z</dcterms:modified>
</cp:coreProperties>
</file>